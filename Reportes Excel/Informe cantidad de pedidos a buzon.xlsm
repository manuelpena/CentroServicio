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0490" windowHeight="7755"/>
  </bookViews>
  <sheets>
    <sheet name="Reporte" sheetId="9" r:id="rId1"/>
    <sheet name="query" sheetId="7" state="hidden" r:id="rId2"/>
    <sheet name="Info" sheetId="6" state="hidden" r:id="rId3"/>
    <sheet name="SEGUNDAS ENTREGAS" sheetId="1" state="hidden" r:id="rId4"/>
    <sheet name="SEGUNDAS ENTREGAS HOJA2" sheetId="8" state="hidden" r:id="rId5"/>
    <sheet name="DATOS" sheetId="3" state="hidden" r:id="rId6"/>
  </sheets>
  <externalReferences>
    <externalReference r:id="rId7"/>
  </externalReferences>
  <definedNames>
    <definedName name="_xlnm._FilterDatabase" localSheetId="0" hidden="1">Reporte!$I$3:$K$3</definedName>
    <definedName name="ExternalData_1" localSheetId="2">Info!#REF!</definedName>
    <definedName name="ss2p_pedidos" localSheetId="5" hidden="1">DATOS!$A$1:$Z$193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9" l="1"/>
  <c r="K6" i="9" l="1"/>
  <c r="K7" i="9"/>
  <c r="K8" i="9"/>
  <c r="K10" i="9"/>
  <c r="K11" i="9"/>
  <c r="K12" i="9"/>
  <c r="K13" i="9"/>
  <c r="K19" i="9"/>
  <c r="K14" i="9"/>
  <c r="K15" i="9"/>
  <c r="K16" i="9"/>
  <c r="K9" i="9"/>
  <c r="K17" i="9"/>
  <c r="K18" i="9"/>
  <c r="K5" i="9"/>
  <c r="K21" i="9"/>
  <c r="K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4" i="9"/>
  <c r="B1" i="7"/>
  <c r="K22" i="9" l="1"/>
  <c r="G23" i="9"/>
  <c r="N33" i="8"/>
  <c r="A8" i="8"/>
  <c r="B2" i="7"/>
  <c r="AA2" i="3"/>
  <c r="AA3" i="3" s="1"/>
  <c r="AA17" i="3"/>
  <c r="AA18" i="3" s="1"/>
  <c r="AA37" i="3"/>
  <c r="AA38" i="3" s="1"/>
  <c r="AA47" i="3"/>
  <c r="AA48" i="3"/>
  <c r="AA49" i="3" s="1"/>
  <c r="AA57" i="3"/>
  <c r="AA58" i="3" s="1"/>
  <c r="AA66" i="3"/>
  <c r="AA67" i="3" s="1"/>
  <c r="AA110" i="3"/>
  <c r="AA111" i="3" s="1"/>
  <c r="AA140" i="3"/>
  <c r="AA141" i="3"/>
  <c r="AA142" i="3" s="1"/>
  <c r="AA146" i="3"/>
  <c r="AA147" i="3"/>
  <c r="AA148" i="3" s="1"/>
  <c r="AA163" i="3"/>
  <c r="AA164" i="3" s="1"/>
  <c r="AA176" i="3"/>
  <c r="AA177" i="3" s="1"/>
  <c r="AB177" i="3" s="1"/>
  <c r="AA185" i="3"/>
  <c r="AA186" i="3" s="1"/>
  <c r="AA187" i="3" s="1"/>
  <c r="AA188" i="3" s="1"/>
  <c r="AA189" i="3" s="1"/>
  <c r="AA190" i="3" s="1"/>
  <c r="AA191" i="3" s="1"/>
  <c r="AA192" i="3" s="1"/>
  <c r="AA193" i="3" s="1"/>
  <c r="AB2" i="3"/>
  <c r="AB17" i="3"/>
  <c r="AB37" i="3"/>
  <c r="AB47" i="3"/>
  <c r="AB48" i="3"/>
  <c r="AB57" i="3"/>
  <c r="AB66" i="3"/>
  <c r="AB110" i="3"/>
  <c r="AB140" i="3"/>
  <c r="AB141" i="3"/>
  <c r="AB146" i="3"/>
  <c r="AB147" i="3"/>
  <c r="AB163" i="3"/>
  <c r="AB176" i="3"/>
  <c r="AB185" i="3"/>
  <c r="AB186" i="3"/>
  <c r="AB187" i="3"/>
  <c r="AB188" i="3"/>
  <c r="AB189" i="3"/>
  <c r="AB190" i="3"/>
  <c r="AB191" i="3"/>
  <c r="AB192" i="3"/>
  <c r="AB193" i="3"/>
  <c r="B10" i="7"/>
  <c r="AA68" i="3" l="1"/>
  <c r="AB67" i="3"/>
  <c r="AB111" i="3"/>
  <c r="AA112" i="3"/>
  <c r="A9" i="8"/>
  <c r="AA39" i="3"/>
  <c r="AB38" i="3"/>
  <c r="AA50" i="3"/>
  <c r="AB49" i="3"/>
  <c r="AA40" i="3"/>
  <c r="AB39" i="3"/>
  <c r="AA19" i="3"/>
  <c r="AB18" i="3"/>
  <c r="AA149" i="3"/>
  <c r="AB148" i="3"/>
  <c r="AA143" i="3"/>
  <c r="AB142" i="3"/>
  <c r="AB68" i="3"/>
  <c r="AA69" i="3"/>
  <c r="AA59" i="3"/>
  <c r="AB58" i="3"/>
  <c r="AB164" i="3"/>
  <c r="AA165" i="3"/>
  <c r="AA4" i="3"/>
  <c r="AB3" i="3"/>
  <c r="L196" i="3"/>
  <c r="A8" i="1"/>
  <c r="AA113" i="3" l="1"/>
  <c r="AB112" i="3"/>
  <c r="G8" i="1"/>
  <c r="M8" i="1"/>
  <c r="J8" i="1"/>
  <c r="H8" i="1"/>
  <c r="E8" i="1"/>
  <c r="C8" i="1"/>
  <c r="O8" i="1"/>
  <c r="L8" i="1"/>
  <c r="I8" i="1"/>
  <c r="F8" i="1"/>
  <c r="D8" i="1"/>
  <c r="B8" i="1"/>
  <c r="A10" i="8"/>
  <c r="I9" i="8"/>
  <c r="AA70" i="3"/>
  <c r="AB69" i="3"/>
  <c r="AB59" i="3"/>
  <c r="AA60" i="3"/>
  <c r="AB143" i="3"/>
  <c r="AA144" i="3"/>
  <c r="AA150" i="3"/>
  <c r="AB149" i="3"/>
  <c r="AB19" i="3"/>
  <c r="AA20" i="3"/>
  <c r="AB40" i="3"/>
  <c r="AA41" i="3"/>
  <c r="AB50" i="3"/>
  <c r="AA51" i="3"/>
  <c r="AA166" i="3"/>
  <c r="AB165" i="3"/>
  <c r="AB4" i="3"/>
  <c r="AA5" i="3"/>
  <c r="A9" i="1"/>
  <c r="D9" i="8" l="1"/>
  <c r="L9" i="8"/>
  <c r="D8" i="8"/>
  <c r="C9" i="8"/>
  <c r="H9" i="8"/>
  <c r="E9" i="8"/>
  <c r="B8" i="8"/>
  <c r="G8" i="8"/>
  <c r="L8" i="8"/>
  <c r="I8" i="8"/>
  <c r="B9" i="8"/>
  <c r="F9" i="8"/>
  <c r="J9" i="8"/>
  <c r="O9" i="8"/>
  <c r="G9" i="8"/>
  <c r="M9" i="8"/>
  <c r="C8" i="8"/>
  <c r="M8" i="8"/>
  <c r="H8" i="8"/>
  <c r="E8" i="8"/>
  <c r="J8" i="8"/>
  <c r="F8" i="8"/>
  <c r="O8" i="8"/>
  <c r="B9" i="1"/>
  <c r="F9" i="1"/>
  <c r="L9" i="1"/>
  <c r="G9" i="1"/>
  <c r="D9" i="1"/>
  <c r="O9" i="1"/>
  <c r="E9" i="1"/>
  <c r="J9" i="1"/>
  <c r="C9" i="1"/>
  <c r="M9" i="1"/>
  <c r="I9" i="1"/>
  <c r="H9" i="1"/>
  <c r="AA114" i="3"/>
  <c r="AB113" i="3"/>
  <c r="A11" i="8"/>
  <c r="M10" i="8"/>
  <c r="I10" i="8"/>
  <c r="G10" i="8"/>
  <c r="E10" i="8"/>
  <c r="C10" i="8"/>
  <c r="O10" i="8"/>
  <c r="L10" i="8"/>
  <c r="J10" i="8"/>
  <c r="H10" i="8"/>
  <c r="F10" i="8"/>
  <c r="D10" i="8"/>
  <c r="B10" i="8"/>
  <c r="AA52" i="3"/>
  <c r="AB51" i="3"/>
  <c r="AA42" i="3"/>
  <c r="AB41" i="3"/>
  <c r="AA21" i="3"/>
  <c r="AB20" i="3"/>
  <c r="AA145" i="3"/>
  <c r="AB145" i="3" s="1"/>
  <c r="AB144" i="3"/>
  <c r="AA61" i="3"/>
  <c r="AB60" i="3"/>
  <c r="AB150" i="3"/>
  <c r="AA151" i="3"/>
  <c r="AA71" i="3"/>
  <c r="AB71" i="3" s="1"/>
  <c r="AB70" i="3"/>
  <c r="AB5" i="3"/>
  <c r="AA167" i="3"/>
  <c r="AB166" i="3"/>
  <c r="A10" i="1"/>
  <c r="K8" i="8" l="1"/>
  <c r="K9" i="8"/>
  <c r="C10" i="1"/>
  <c r="H10" i="1"/>
  <c r="M10" i="1"/>
  <c r="G10" i="1"/>
  <c r="J10" i="1"/>
  <c r="B10" i="1"/>
  <c r="F10" i="1"/>
  <c r="L10" i="1"/>
  <c r="I10" i="1"/>
  <c r="O10" i="1"/>
  <c r="E10" i="1"/>
  <c r="D10" i="1"/>
  <c r="AA115" i="3"/>
  <c r="AB114" i="3"/>
  <c r="K9" i="1"/>
  <c r="K10" i="8"/>
  <c r="A12" i="8"/>
  <c r="M11" i="8"/>
  <c r="I11" i="8"/>
  <c r="G11" i="8"/>
  <c r="E11" i="8"/>
  <c r="C11" i="8"/>
  <c r="O11" i="8"/>
  <c r="L11" i="8"/>
  <c r="J11" i="8"/>
  <c r="H11" i="8"/>
  <c r="F11" i="8"/>
  <c r="D11" i="8"/>
  <c r="B11" i="8"/>
  <c r="AA152" i="3"/>
  <c r="AB151" i="3"/>
  <c r="AB61" i="3"/>
  <c r="AA62" i="3"/>
  <c r="AA22" i="3"/>
  <c r="AB21" i="3"/>
  <c r="AB42" i="3"/>
  <c r="AA43" i="3"/>
  <c r="AB52" i="3"/>
  <c r="AA53" i="3"/>
  <c r="AA72" i="3"/>
  <c r="AA73" i="3" s="1"/>
  <c r="AA74" i="3" s="1"/>
  <c r="AA168" i="3"/>
  <c r="AB167" i="3"/>
  <c r="A11" i="1"/>
  <c r="K10" i="1" l="1"/>
  <c r="D11" i="1"/>
  <c r="I11" i="1"/>
  <c r="O11" i="1"/>
  <c r="F11" i="1"/>
  <c r="G11" i="1"/>
  <c r="C11" i="1"/>
  <c r="H11" i="1"/>
  <c r="M11" i="1"/>
  <c r="J11" i="1"/>
  <c r="B11" i="1"/>
  <c r="L11" i="1"/>
  <c r="E11" i="1"/>
  <c r="AB115" i="3"/>
  <c r="AA116" i="3"/>
  <c r="K11" i="8"/>
  <c r="A13" i="8"/>
  <c r="M12" i="8"/>
  <c r="I12" i="8"/>
  <c r="G12" i="8"/>
  <c r="E12" i="8"/>
  <c r="C12" i="8"/>
  <c r="O12" i="8"/>
  <c r="L12" i="8"/>
  <c r="J12" i="8"/>
  <c r="H12" i="8"/>
  <c r="F12" i="8"/>
  <c r="D12" i="8"/>
  <c r="B12" i="8"/>
  <c r="AB73" i="3"/>
  <c r="AA54" i="3"/>
  <c r="AB53" i="3"/>
  <c r="AA44" i="3"/>
  <c r="AB43" i="3"/>
  <c r="AA63" i="3"/>
  <c r="AB62" i="3"/>
  <c r="AA75" i="3"/>
  <c r="AB75" i="3" s="1"/>
  <c r="AB74" i="3"/>
  <c r="AA23" i="3"/>
  <c r="AB22" i="3"/>
  <c r="AA153" i="3"/>
  <c r="AB152" i="3"/>
  <c r="AA169" i="3"/>
  <c r="AB168" i="3"/>
  <c r="AB72" i="3"/>
  <c r="A12" i="1"/>
  <c r="AB116" i="3" l="1"/>
  <c r="AA117" i="3"/>
  <c r="K11" i="1"/>
  <c r="E12" i="1"/>
  <c r="J12" i="1"/>
  <c r="C12" i="1"/>
  <c r="M12" i="1"/>
  <c r="G12" i="1"/>
  <c r="D12" i="1"/>
  <c r="I12" i="1"/>
  <c r="O12" i="1"/>
  <c r="F12" i="1"/>
  <c r="H12" i="1"/>
  <c r="B12" i="1"/>
  <c r="L12" i="1"/>
  <c r="K12" i="8"/>
  <c r="A14" i="8"/>
  <c r="M13" i="8"/>
  <c r="I13" i="8"/>
  <c r="G13" i="8"/>
  <c r="E13" i="8"/>
  <c r="C13" i="8"/>
  <c r="O13" i="8"/>
  <c r="L13" i="8"/>
  <c r="J13" i="8"/>
  <c r="H13" i="8"/>
  <c r="F13" i="8"/>
  <c r="D13" i="8"/>
  <c r="B13" i="8"/>
  <c r="AB153" i="3"/>
  <c r="AA154" i="3"/>
  <c r="AA24" i="3"/>
  <c r="AB23" i="3"/>
  <c r="AB63" i="3"/>
  <c r="AA64" i="3"/>
  <c r="AB44" i="3"/>
  <c r="AA45" i="3"/>
  <c r="AB54" i="3"/>
  <c r="AA55" i="3"/>
  <c r="AA170" i="3"/>
  <c r="AB169" i="3"/>
  <c r="AA6" i="3"/>
  <c r="AA7" i="3" s="1"/>
  <c r="AA8" i="3" s="1"/>
  <c r="A13" i="1"/>
  <c r="B13" i="1" l="1"/>
  <c r="F13" i="1"/>
  <c r="L13" i="1"/>
  <c r="G13" i="1"/>
  <c r="I13" i="1"/>
  <c r="E13" i="1"/>
  <c r="J13" i="1"/>
  <c r="C13" i="1"/>
  <c r="M13" i="1"/>
  <c r="D13" i="1"/>
  <c r="O13" i="1"/>
  <c r="H13" i="1"/>
  <c r="K12" i="1"/>
  <c r="AA118" i="3"/>
  <c r="AB117" i="3"/>
  <c r="K13" i="8"/>
  <c r="A15" i="8"/>
  <c r="M14" i="8"/>
  <c r="I14" i="8"/>
  <c r="G14" i="8"/>
  <c r="E14" i="8"/>
  <c r="C14" i="8"/>
  <c r="O14" i="8"/>
  <c r="L14" i="8"/>
  <c r="J14" i="8"/>
  <c r="H14" i="8"/>
  <c r="F14" i="8"/>
  <c r="D14" i="8"/>
  <c r="B14" i="8"/>
  <c r="AA56" i="3"/>
  <c r="AB56" i="3" s="1"/>
  <c r="AB55" i="3"/>
  <c r="AA65" i="3"/>
  <c r="AB65" i="3" s="1"/>
  <c r="AB64" i="3"/>
  <c r="AA155" i="3"/>
  <c r="AB154" i="3"/>
  <c r="AA9" i="3"/>
  <c r="AB9" i="3" s="1"/>
  <c r="AB8" i="3"/>
  <c r="AA46" i="3"/>
  <c r="AB46" i="3" s="1"/>
  <c r="AB45" i="3"/>
  <c r="AB7" i="3"/>
  <c r="AA25" i="3"/>
  <c r="AB24" i="3"/>
  <c r="AA10" i="3"/>
  <c r="AB6" i="3"/>
  <c r="AB170" i="3"/>
  <c r="A14" i="1"/>
  <c r="F14" i="1" s="1"/>
  <c r="AB118" i="3" l="1"/>
  <c r="AA119" i="3"/>
  <c r="C14" i="1"/>
  <c r="H14" i="1"/>
  <c r="M14" i="1"/>
  <c r="G14" i="1"/>
  <c r="E14" i="1"/>
  <c r="B14" i="1"/>
  <c r="L14" i="1"/>
  <c r="I14" i="1"/>
  <c r="O14" i="1"/>
  <c r="J14" i="1"/>
  <c r="D14" i="1"/>
  <c r="K13" i="1"/>
  <c r="K14" i="8"/>
  <c r="A16" i="8"/>
  <c r="M15" i="8"/>
  <c r="I15" i="8"/>
  <c r="G15" i="8"/>
  <c r="E15" i="8"/>
  <c r="C15" i="8"/>
  <c r="O15" i="8"/>
  <c r="L15" i="8"/>
  <c r="J15" i="8"/>
  <c r="H15" i="8"/>
  <c r="F15" i="8"/>
  <c r="D15" i="8"/>
  <c r="B15" i="8"/>
  <c r="AB25" i="3"/>
  <c r="AA26" i="3"/>
  <c r="AB155" i="3"/>
  <c r="AA156" i="3"/>
  <c r="AA87" i="3"/>
  <c r="AB10" i="3"/>
  <c r="AA11" i="3"/>
  <c r="A15" i="1"/>
  <c r="K15" i="8" l="1"/>
  <c r="K14" i="1"/>
  <c r="AB119" i="3"/>
  <c r="AA120" i="3"/>
  <c r="D15" i="1"/>
  <c r="I15" i="1"/>
  <c r="O15" i="1"/>
  <c r="B15" i="1"/>
  <c r="L15" i="1"/>
  <c r="C15" i="1"/>
  <c r="H15" i="1"/>
  <c r="M15" i="1"/>
  <c r="F15" i="1"/>
  <c r="G15" i="1"/>
  <c r="E15" i="1"/>
  <c r="J15" i="1"/>
  <c r="A17" i="8"/>
  <c r="M16" i="8"/>
  <c r="I16" i="8"/>
  <c r="G16" i="8"/>
  <c r="E16" i="8"/>
  <c r="C16" i="8"/>
  <c r="O16" i="8"/>
  <c r="L16" i="8"/>
  <c r="J16" i="8"/>
  <c r="H16" i="8"/>
  <c r="F16" i="8"/>
  <c r="D16" i="8"/>
  <c r="B16" i="8"/>
  <c r="AA157" i="3"/>
  <c r="AB156" i="3"/>
  <c r="AA27" i="3"/>
  <c r="AB26" i="3"/>
  <c r="AA12" i="3"/>
  <c r="AB11" i="3"/>
  <c r="AA171" i="3"/>
  <c r="AA172" i="3" s="1"/>
  <c r="AA173" i="3" s="1"/>
  <c r="AB173" i="3" s="1"/>
  <c r="AA98" i="3"/>
  <c r="AB87" i="3"/>
  <c r="AA88" i="3"/>
  <c r="A16" i="1"/>
  <c r="E16" i="1" l="1"/>
  <c r="J16" i="1"/>
  <c r="H16" i="1"/>
  <c r="D16" i="1"/>
  <c r="I16" i="1"/>
  <c r="O16" i="1"/>
  <c r="B16" i="1"/>
  <c r="L16" i="1"/>
  <c r="C16" i="1"/>
  <c r="M16" i="1"/>
  <c r="G16" i="1"/>
  <c r="F16" i="1"/>
  <c r="K15" i="1"/>
  <c r="AB120" i="3"/>
  <c r="AA121" i="3"/>
  <c r="K16" i="8"/>
  <c r="A18" i="8"/>
  <c r="M17" i="8"/>
  <c r="I17" i="8"/>
  <c r="G17" i="8"/>
  <c r="E17" i="8"/>
  <c r="C17" i="8"/>
  <c r="O17" i="8"/>
  <c r="L17" i="8"/>
  <c r="J17" i="8"/>
  <c r="H17" i="8"/>
  <c r="F17" i="8"/>
  <c r="D17" i="8"/>
  <c r="B17" i="8"/>
  <c r="AB88" i="3"/>
  <c r="AA89" i="3"/>
  <c r="AB98" i="3"/>
  <c r="AA99" i="3"/>
  <c r="AB172" i="3"/>
  <c r="AB27" i="3"/>
  <c r="AA28" i="3"/>
  <c r="AB157" i="3"/>
  <c r="AA158" i="3"/>
  <c r="AA174" i="3"/>
  <c r="AB171" i="3"/>
  <c r="AB12" i="3"/>
  <c r="AA13" i="3"/>
  <c r="A17" i="1"/>
  <c r="K16" i="1" l="1"/>
  <c r="B17" i="1"/>
  <c r="F17" i="1"/>
  <c r="L17" i="1"/>
  <c r="G17" i="1"/>
  <c r="D17" i="1"/>
  <c r="O17" i="1"/>
  <c r="E17" i="1"/>
  <c r="J17" i="1"/>
  <c r="H17" i="1"/>
  <c r="M17" i="1"/>
  <c r="I17" i="1"/>
  <c r="C17" i="1"/>
  <c r="AB121" i="3"/>
  <c r="AA122" i="3"/>
  <c r="K17" i="8"/>
  <c r="A19" i="8"/>
  <c r="M18" i="8"/>
  <c r="I18" i="8"/>
  <c r="G18" i="8"/>
  <c r="E18" i="8"/>
  <c r="C18" i="8"/>
  <c r="O18" i="8"/>
  <c r="L18" i="8"/>
  <c r="J18" i="8"/>
  <c r="H18" i="8"/>
  <c r="F18" i="8"/>
  <c r="D18" i="8"/>
  <c r="B18" i="8"/>
  <c r="AA100" i="3"/>
  <c r="AB99" i="3"/>
  <c r="AA90" i="3"/>
  <c r="AB89" i="3"/>
  <c r="AA159" i="3"/>
  <c r="AB158" i="3"/>
  <c r="AA29" i="3"/>
  <c r="AB28" i="3"/>
  <c r="AB13" i="3"/>
  <c r="AA175" i="3"/>
  <c r="AB175" i="3" s="1"/>
  <c r="AB174" i="3"/>
  <c r="A18" i="1"/>
  <c r="AB122" i="3" l="1"/>
  <c r="AA123" i="3"/>
  <c r="C18" i="1"/>
  <c r="H18" i="1"/>
  <c r="M18" i="1"/>
  <c r="G18" i="1"/>
  <c r="J18" i="1"/>
  <c r="B18" i="1"/>
  <c r="F18" i="1"/>
  <c r="L18" i="1"/>
  <c r="I18" i="1"/>
  <c r="E18" i="1"/>
  <c r="D18" i="1"/>
  <c r="O18" i="1"/>
  <c r="K17" i="1"/>
  <c r="K18" i="8"/>
  <c r="A20" i="8"/>
  <c r="M19" i="8"/>
  <c r="I19" i="8"/>
  <c r="G19" i="8"/>
  <c r="E19" i="8"/>
  <c r="C19" i="8"/>
  <c r="O19" i="8"/>
  <c r="L19" i="8"/>
  <c r="J19" i="8"/>
  <c r="H19" i="8"/>
  <c r="F19" i="8"/>
  <c r="D19" i="8"/>
  <c r="B19" i="8"/>
  <c r="AB29" i="3"/>
  <c r="AA30" i="3"/>
  <c r="AB159" i="3"/>
  <c r="AA160" i="3"/>
  <c r="AA91" i="3"/>
  <c r="AB90" i="3"/>
  <c r="AA101" i="3"/>
  <c r="AB100" i="3"/>
  <c r="A19" i="1"/>
  <c r="K19" i="8" l="1"/>
  <c r="D19" i="1"/>
  <c r="I19" i="1"/>
  <c r="F19" i="1"/>
  <c r="G19" i="1"/>
  <c r="M19" i="1"/>
  <c r="C19" i="1"/>
  <c r="H19" i="1"/>
  <c r="O19" i="1"/>
  <c r="E19" i="1"/>
  <c r="B19" i="1"/>
  <c r="L19" i="1"/>
  <c r="J19" i="1"/>
  <c r="K18" i="1"/>
  <c r="AB123" i="3"/>
  <c r="AA124" i="3"/>
  <c r="A21" i="8"/>
  <c r="M20" i="8"/>
  <c r="I20" i="8"/>
  <c r="G20" i="8"/>
  <c r="E20" i="8"/>
  <c r="C20" i="8"/>
  <c r="O20" i="8"/>
  <c r="L20" i="8"/>
  <c r="J20" i="8"/>
  <c r="H20" i="8"/>
  <c r="F20" i="8"/>
  <c r="D20" i="8"/>
  <c r="B20" i="8"/>
  <c r="AA161" i="3"/>
  <c r="AB160" i="3"/>
  <c r="AA31" i="3"/>
  <c r="AB30" i="3"/>
  <c r="AA102" i="3"/>
  <c r="AB101" i="3"/>
  <c r="AA92" i="3"/>
  <c r="AB91" i="3"/>
  <c r="AA14" i="3"/>
  <c r="A20" i="1"/>
  <c r="K19" i="1" l="1"/>
  <c r="C20" i="1"/>
  <c r="M20" i="1"/>
  <c r="H20" i="1"/>
  <c r="G20" i="1"/>
  <c r="O20" i="1"/>
  <c r="I20" i="1"/>
  <c r="D20" i="1"/>
  <c r="J20" i="1"/>
  <c r="L20" i="1"/>
  <c r="F20" i="1"/>
  <c r="E20" i="1"/>
  <c r="B20" i="1"/>
  <c r="AB124" i="3"/>
  <c r="AA125" i="3"/>
  <c r="K20" i="8"/>
  <c r="A22" i="8"/>
  <c r="M21" i="8"/>
  <c r="I21" i="8"/>
  <c r="G21" i="8"/>
  <c r="O21" i="8"/>
  <c r="L21" i="8"/>
  <c r="J21" i="8"/>
  <c r="H21" i="8"/>
  <c r="E21" i="8"/>
  <c r="C21" i="8"/>
  <c r="F21" i="8"/>
  <c r="D21" i="8"/>
  <c r="B21" i="8"/>
  <c r="K21" i="8" s="1"/>
  <c r="AB14" i="3"/>
  <c r="AA15" i="3"/>
  <c r="AB92" i="3"/>
  <c r="AA93" i="3"/>
  <c r="AA103" i="3"/>
  <c r="AB102" i="3"/>
  <c r="AA32" i="3"/>
  <c r="AB31" i="3"/>
  <c r="AB161" i="3"/>
  <c r="AA162" i="3"/>
  <c r="AB162" i="3" s="1"/>
  <c r="A21" i="1"/>
  <c r="K20" i="1" l="1"/>
  <c r="L21" i="1"/>
  <c r="F21" i="1"/>
  <c r="G21" i="1"/>
  <c r="I21" i="1"/>
  <c r="J21" i="1"/>
  <c r="E21" i="1"/>
  <c r="H21" i="1"/>
  <c r="D21" i="1"/>
  <c r="O21" i="1"/>
  <c r="M21" i="1"/>
  <c r="C21" i="1"/>
  <c r="B21" i="1"/>
  <c r="AB125" i="3"/>
  <c r="AA126" i="3"/>
  <c r="A23" i="8"/>
  <c r="M22" i="8"/>
  <c r="I22" i="8"/>
  <c r="G22" i="8"/>
  <c r="E22" i="8"/>
  <c r="C22" i="8"/>
  <c r="O22" i="8"/>
  <c r="L22" i="8"/>
  <c r="J22" i="8"/>
  <c r="H22" i="8"/>
  <c r="F22" i="8"/>
  <c r="D22" i="8"/>
  <c r="B22" i="8"/>
  <c r="AA94" i="3"/>
  <c r="AB93" i="3"/>
  <c r="AA16" i="3"/>
  <c r="AB16" i="3" s="1"/>
  <c r="AB15" i="3"/>
  <c r="AB32" i="3"/>
  <c r="AA33" i="3"/>
  <c r="AB103" i="3"/>
  <c r="AA104" i="3"/>
  <c r="A22" i="1"/>
  <c r="G22" i="1" l="1"/>
  <c r="M22" i="1"/>
  <c r="H22" i="1"/>
  <c r="C22" i="1"/>
  <c r="E22" i="1"/>
  <c r="L22" i="1"/>
  <c r="F22" i="1"/>
  <c r="B22" i="1"/>
  <c r="O22" i="1"/>
  <c r="D22" i="1"/>
  <c r="J22" i="1"/>
  <c r="I22" i="1"/>
  <c r="AB126" i="3"/>
  <c r="AA127" i="3"/>
  <c r="K21" i="1"/>
  <c r="K22" i="8"/>
  <c r="A24" i="8"/>
  <c r="M23" i="8"/>
  <c r="I23" i="8"/>
  <c r="G23" i="8"/>
  <c r="E23" i="8"/>
  <c r="C23" i="8"/>
  <c r="O23" i="8"/>
  <c r="L23" i="8"/>
  <c r="J23" i="8"/>
  <c r="H23" i="8"/>
  <c r="F23" i="8"/>
  <c r="D23" i="8"/>
  <c r="B23" i="8"/>
  <c r="AB104" i="3"/>
  <c r="AA105" i="3"/>
  <c r="AA34" i="3"/>
  <c r="AB33" i="3"/>
  <c r="AB94" i="3"/>
  <c r="AA95" i="3"/>
  <c r="A23" i="1"/>
  <c r="AB127" i="3" l="1"/>
  <c r="AA128" i="3"/>
  <c r="K22" i="1"/>
  <c r="O23" i="1"/>
  <c r="I23" i="1"/>
  <c r="D23" i="1"/>
  <c r="L23" i="1"/>
  <c r="B23" i="1"/>
  <c r="M23" i="1"/>
  <c r="H23" i="1"/>
  <c r="C23" i="1"/>
  <c r="E23" i="1"/>
  <c r="F23" i="1"/>
  <c r="G23" i="1"/>
  <c r="J23" i="1"/>
  <c r="K23" i="8"/>
  <c r="A25" i="8"/>
  <c r="M24" i="8"/>
  <c r="I24" i="8"/>
  <c r="G24" i="8"/>
  <c r="E24" i="8"/>
  <c r="C24" i="8"/>
  <c r="O24" i="8"/>
  <c r="L24" i="8"/>
  <c r="J24" i="8"/>
  <c r="H24" i="8"/>
  <c r="F24" i="8"/>
  <c r="D24" i="8"/>
  <c r="B24" i="8"/>
  <c r="AA96" i="3"/>
  <c r="AB95" i="3"/>
  <c r="AA106" i="3"/>
  <c r="AB105" i="3"/>
  <c r="AA35" i="3"/>
  <c r="AB34" i="3"/>
  <c r="A24" i="1"/>
  <c r="J24" i="1" l="1"/>
  <c r="E24" i="1"/>
  <c r="H24" i="1"/>
  <c r="O24" i="1"/>
  <c r="I24" i="1"/>
  <c r="D24" i="1"/>
  <c r="L24" i="1"/>
  <c r="B24" i="1"/>
  <c r="G24" i="1"/>
  <c r="M24" i="1"/>
  <c r="C24" i="1"/>
  <c r="F24" i="1"/>
  <c r="K23" i="1"/>
  <c r="AB128" i="3"/>
  <c r="AA129" i="3"/>
  <c r="K24" i="8"/>
  <c r="A26" i="8"/>
  <c r="M25" i="8"/>
  <c r="I25" i="8"/>
  <c r="G25" i="8"/>
  <c r="E25" i="8"/>
  <c r="C25" i="8"/>
  <c r="O25" i="8"/>
  <c r="L25" i="8"/>
  <c r="J25" i="8"/>
  <c r="H25" i="8"/>
  <c r="F25" i="8"/>
  <c r="D25" i="8"/>
  <c r="B25" i="8"/>
  <c r="AB35" i="3"/>
  <c r="AA36" i="3"/>
  <c r="AB36" i="3" s="1"/>
  <c r="AB106" i="3"/>
  <c r="AA107" i="3"/>
  <c r="AB96" i="3"/>
  <c r="AA97" i="3"/>
  <c r="AB97" i="3" s="1"/>
  <c r="A25" i="1"/>
  <c r="K24" i="1" l="1"/>
  <c r="L25" i="1"/>
  <c r="F25" i="1"/>
  <c r="B25" i="1"/>
  <c r="G25" i="1"/>
  <c r="O25" i="1"/>
  <c r="D25" i="1"/>
  <c r="J25" i="1"/>
  <c r="E25" i="1"/>
  <c r="H25" i="1"/>
  <c r="I25" i="1"/>
  <c r="M25" i="1"/>
  <c r="C25" i="1"/>
  <c r="AB129" i="3"/>
  <c r="AA130" i="3"/>
  <c r="K25" i="8"/>
  <c r="A27" i="8"/>
  <c r="M26" i="8"/>
  <c r="I26" i="8"/>
  <c r="G26" i="8"/>
  <c r="E26" i="8"/>
  <c r="C26" i="8"/>
  <c r="O26" i="8"/>
  <c r="L26" i="8"/>
  <c r="J26" i="8"/>
  <c r="H26" i="8"/>
  <c r="F26" i="8"/>
  <c r="D26" i="8"/>
  <c r="B26" i="8"/>
  <c r="AB107" i="3"/>
  <c r="AA108" i="3"/>
  <c r="A26" i="1"/>
  <c r="G26" i="1" l="1"/>
  <c r="M26" i="1"/>
  <c r="H26" i="1"/>
  <c r="C26" i="1"/>
  <c r="J26" i="1"/>
  <c r="L26" i="1"/>
  <c r="F26" i="1"/>
  <c r="B26" i="1"/>
  <c r="E26" i="1"/>
  <c r="O26" i="1"/>
  <c r="I26" i="1"/>
  <c r="D26" i="1"/>
  <c r="K25" i="1"/>
  <c r="AA131" i="3"/>
  <c r="AB130" i="3"/>
  <c r="K26" i="8"/>
  <c r="A28" i="8"/>
  <c r="M27" i="8"/>
  <c r="I27" i="8"/>
  <c r="G27" i="8"/>
  <c r="E27" i="8"/>
  <c r="C27" i="8"/>
  <c r="O27" i="8"/>
  <c r="L27" i="8"/>
  <c r="J27" i="8"/>
  <c r="H27" i="8"/>
  <c r="F27" i="8"/>
  <c r="D27" i="8"/>
  <c r="B27" i="8"/>
  <c r="AB108" i="3"/>
  <c r="AA109" i="3"/>
  <c r="AB109" i="3" s="1"/>
  <c r="A27" i="1"/>
  <c r="O27" i="1" l="1"/>
  <c r="I27" i="1"/>
  <c r="D27" i="1"/>
  <c r="F27" i="1"/>
  <c r="G27" i="1"/>
  <c r="M27" i="1"/>
  <c r="H27" i="1"/>
  <c r="C27" i="1"/>
  <c r="J27" i="1"/>
  <c r="L27" i="1"/>
  <c r="B27" i="1"/>
  <c r="K27" i="1" s="1"/>
  <c r="E27" i="1"/>
  <c r="AB131" i="3"/>
  <c r="AA132" i="3"/>
  <c r="K26" i="1"/>
  <c r="K27" i="8"/>
  <c r="A29" i="8"/>
  <c r="M28" i="8"/>
  <c r="I28" i="8"/>
  <c r="G28" i="8"/>
  <c r="E28" i="8"/>
  <c r="C28" i="8"/>
  <c r="O28" i="8"/>
  <c r="L28" i="8"/>
  <c r="J28" i="8"/>
  <c r="H28" i="8"/>
  <c r="F28" i="8"/>
  <c r="D28" i="8"/>
  <c r="B28" i="8"/>
  <c r="A28" i="1"/>
  <c r="J28" i="1" l="1"/>
  <c r="E28" i="1"/>
  <c r="G28" i="1"/>
  <c r="M28" i="1"/>
  <c r="C28" i="1"/>
  <c r="O28" i="1"/>
  <c r="I28" i="1"/>
  <c r="D28" i="1"/>
  <c r="H28" i="1"/>
  <c r="L28" i="1"/>
  <c r="F28" i="1"/>
  <c r="B28" i="1"/>
  <c r="AA133" i="3"/>
  <c r="AB132" i="3"/>
  <c r="K28" i="8"/>
  <c r="A30" i="8"/>
  <c r="M29" i="8"/>
  <c r="I29" i="8"/>
  <c r="G29" i="8"/>
  <c r="E29" i="8"/>
  <c r="C29" i="8"/>
  <c r="O29" i="8"/>
  <c r="L29" i="8"/>
  <c r="J29" i="8"/>
  <c r="H29" i="8"/>
  <c r="F29" i="8"/>
  <c r="D29" i="8"/>
  <c r="B29" i="8"/>
  <c r="A29" i="1"/>
  <c r="L29" i="1" l="1"/>
  <c r="F29" i="1"/>
  <c r="B29" i="1"/>
  <c r="G29" i="1"/>
  <c r="M29" i="1"/>
  <c r="I29" i="1"/>
  <c r="J29" i="1"/>
  <c r="E29" i="1"/>
  <c r="O29" i="1"/>
  <c r="D29" i="1"/>
  <c r="H29" i="1"/>
  <c r="C29" i="1"/>
  <c r="AA134" i="3"/>
  <c r="AB133" i="3"/>
  <c r="K28" i="1"/>
  <c r="K29" i="8"/>
  <c r="A31" i="8"/>
  <c r="M30" i="8"/>
  <c r="I30" i="8"/>
  <c r="G30" i="8"/>
  <c r="E30" i="8"/>
  <c r="C30" i="8"/>
  <c r="O30" i="8"/>
  <c r="L30" i="8"/>
  <c r="J30" i="8"/>
  <c r="H30" i="8"/>
  <c r="F30" i="8"/>
  <c r="D30" i="8"/>
  <c r="B30" i="8"/>
  <c r="A30" i="1"/>
  <c r="AB134" i="3" l="1"/>
  <c r="AA135" i="3"/>
  <c r="K29" i="1"/>
  <c r="G30" i="1"/>
  <c r="M30" i="1"/>
  <c r="H30" i="1"/>
  <c r="C30" i="1"/>
  <c r="O30" i="1"/>
  <c r="I30" i="1"/>
  <c r="D30" i="1"/>
  <c r="E30" i="1"/>
  <c r="F30" i="1"/>
  <c r="J30" i="1"/>
  <c r="L30" i="1"/>
  <c r="B30" i="1"/>
  <c r="K30" i="1" s="1"/>
  <c r="K30" i="8"/>
  <c r="A32" i="8"/>
  <c r="M31" i="8"/>
  <c r="I31" i="8"/>
  <c r="G31" i="8"/>
  <c r="E31" i="8"/>
  <c r="C31" i="8"/>
  <c r="O31" i="8"/>
  <c r="L31" i="8"/>
  <c r="J31" i="8"/>
  <c r="H31" i="8"/>
  <c r="F31" i="8"/>
  <c r="D31" i="8"/>
  <c r="B31" i="8"/>
  <c r="A31" i="1"/>
  <c r="N33" i="1"/>
  <c r="O31" i="1" l="1"/>
  <c r="I31" i="1"/>
  <c r="D31" i="1"/>
  <c r="J31" i="1"/>
  <c r="E31" i="1"/>
  <c r="L31" i="1"/>
  <c r="B31" i="1"/>
  <c r="M31" i="1"/>
  <c r="C31" i="1"/>
  <c r="F31" i="1"/>
  <c r="G31" i="1"/>
  <c r="H31" i="1"/>
  <c r="AA136" i="3"/>
  <c r="AB135" i="3"/>
  <c r="K31" i="8"/>
  <c r="M32" i="8"/>
  <c r="I32" i="8"/>
  <c r="I33" i="8" s="1"/>
  <c r="G32" i="8"/>
  <c r="G33" i="8" s="1"/>
  <c r="E32" i="8"/>
  <c r="E33" i="8" s="1"/>
  <c r="C32" i="8"/>
  <c r="O32" i="8"/>
  <c r="L32" i="8"/>
  <c r="L33" i="8" s="1"/>
  <c r="J32" i="8"/>
  <c r="J33" i="8" s="1"/>
  <c r="H32" i="8"/>
  <c r="H33" i="8" s="1"/>
  <c r="F32" i="8"/>
  <c r="D32" i="8"/>
  <c r="B32" i="8"/>
  <c r="A32" i="1"/>
  <c r="K31" i="1" l="1"/>
  <c r="AB136" i="3"/>
  <c r="AA137" i="3"/>
  <c r="J32" i="1"/>
  <c r="E32" i="1"/>
  <c r="E33" i="1" s="1"/>
  <c r="L32" i="1"/>
  <c r="F32" i="1"/>
  <c r="B32" i="1"/>
  <c r="H32" i="1"/>
  <c r="I32" i="1"/>
  <c r="G32" i="1"/>
  <c r="G33" i="1" s="1"/>
  <c r="M32" i="1"/>
  <c r="C32" i="1"/>
  <c r="O32" i="1"/>
  <c r="D32" i="1"/>
  <c r="K32" i="8"/>
  <c r="K33" i="8" s="1"/>
  <c r="A33" i="8"/>
  <c r="AA76" i="3"/>
  <c r="AB76" i="3" s="1"/>
  <c r="AA178" i="3"/>
  <c r="AB178" i="3" s="1"/>
  <c r="AA179" i="3"/>
  <c r="AB179" i="3" s="1"/>
  <c r="K32" i="1" l="1"/>
  <c r="AA180" i="3"/>
  <c r="AA77" i="3"/>
  <c r="AA138" i="3"/>
  <c r="AB137" i="3"/>
  <c r="L33" i="1"/>
  <c r="H33" i="1"/>
  <c r="I33" i="1"/>
  <c r="J33" i="1"/>
  <c r="K8" i="1"/>
  <c r="A33" i="1"/>
  <c r="AB77" i="3" l="1"/>
  <c r="AA78" i="3"/>
  <c r="AA139" i="3"/>
  <c r="AB139" i="3" s="1"/>
  <c r="AB138" i="3"/>
  <c r="AB180" i="3"/>
  <c r="AA181" i="3"/>
  <c r="K33" i="1"/>
  <c r="AB181" i="3" l="1"/>
  <c r="AA182" i="3"/>
  <c r="AB78" i="3"/>
  <c r="AA79" i="3"/>
  <c r="AB79" i="3" l="1"/>
  <c r="AA80" i="3"/>
  <c r="AB182" i="3"/>
  <c r="AA183" i="3"/>
  <c r="AB183" i="3" l="1"/>
  <c r="AA184" i="3"/>
  <c r="AB184" i="3" s="1"/>
  <c r="AB80" i="3"/>
  <c r="AA81" i="3"/>
  <c r="AB81" i="3" l="1"/>
  <c r="AA82" i="3"/>
  <c r="AB82" i="3" l="1"/>
  <c r="AA83" i="3"/>
  <c r="AB83" i="3" l="1"/>
  <c r="AA84" i="3"/>
  <c r="AB84" i="3" l="1"/>
  <c r="AA85" i="3"/>
  <c r="AB85" i="3" l="1"/>
  <c r="AA86" i="3"/>
  <c r="AB86" i="3" s="1"/>
  <c r="F215" i="3" l="1"/>
  <c r="F222" i="3"/>
  <c r="F210" i="3"/>
  <c r="F200" i="3"/>
  <c r="F216" i="3"/>
  <c r="F223" i="3"/>
  <c r="F203" i="3"/>
  <c r="F205" i="3"/>
  <c r="F206" i="3"/>
  <c r="F201" i="3"/>
  <c r="F214" i="3"/>
  <c r="F221" i="3"/>
  <c r="F212" i="3"/>
  <c r="F213" i="3"/>
  <c r="F211" i="3"/>
  <c r="F217" i="3"/>
  <c r="F219" i="3"/>
  <c r="F204" i="3"/>
  <c r="F220" i="3"/>
  <c r="F199" i="3"/>
  <c r="F218" i="3"/>
  <c r="F207" i="3"/>
  <c r="F208" i="3"/>
  <c r="F202" i="3"/>
  <c r="F209" i="3"/>
</calcChain>
</file>

<file path=xl/connections.xml><?xml version="1.0" encoding="utf-8"?>
<connections xmlns="http://schemas.openxmlformats.org/spreadsheetml/2006/main">
  <connection id="1" name="ss2p pedidos" type="1" refreshedVersion="4" deleted="1" background="1" saveData="1">
    <dbPr connection="" command=""/>
  </connection>
</connections>
</file>

<file path=xl/sharedStrings.xml><?xml version="1.0" encoding="utf-8"?>
<sst xmlns="http://schemas.openxmlformats.org/spreadsheetml/2006/main" count="2095" uniqueCount="731">
  <si>
    <t>ENVIO DE PEDIDOS POR SEGUNDAS ENTREGAS A&amp;S</t>
  </si>
  <si>
    <t>S</t>
  </si>
  <si>
    <t>DESDE</t>
  </si>
  <si>
    <t>FECHA</t>
  </si>
  <si>
    <t>HASTA</t>
  </si>
  <si>
    <t>Nº</t>
  </si>
  <si>
    <t>CODIGO</t>
  </si>
  <si>
    <t>SEC</t>
  </si>
  <si>
    <t>NOMBRE CONSEJERA</t>
  </si>
  <si>
    <t>TOTAL BULTOS</t>
  </si>
  <si>
    <t>VALOR COD</t>
  </si>
  <si>
    <t>VALOR POD</t>
  </si>
  <si>
    <t>TOTAL A CANCELAR</t>
  </si>
  <si>
    <t>Doble Flete</t>
  </si>
  <si>
    <t>A SOLICITUD DE</t>
  </si>
  <si>
    <t>BUZON</t>
  </si>
  <si>
    <t>TOTAL</t>
  </si>
  <si>
    <t>HECHO POR:</t>
  </si>
  <si>
    <t>REVISADO POR:</t>
  </si>
  <si>
    <t>VICTOR MEJIA</t>
  </si>
  <si>
    <t>RECIBIDO POR:</t>
  </si>
  <si>
    <t>FIRMA:</t>
  </si>
  <si>
    <t>id_pedido</t>
  </si>
  <si>
    <t>cod_consejera</t>
  </si>
  <si>
    <t>zona</t>
  </si>
  <si>
    <t>sector</t>
  </si>
  <si>
    <t>camp</t>
  </si>
  <si>
    <t>anio</t>
  </si>
  <si>
    <t>nombres</t>
  </si>
  <si>
    <t>direccion</t>
  </si>
  <si>
    <t>telefono_1</t>
  </si>
  <si>
    <t>telefono_2</t>
  </si>
  <si>
    <t>LOS</t>
  </si>
  <si>
    <t>COD</t>
  </si>
  <si>
    <t>razon</t>
  </si>
  <si>
    <t>POD</t>
  </si>
  <si>
    <t>cajas</t>
  </si>
  <si>
    <t>adicionales</t>
  </si>
  <si>
    <t>estado</t>
  </si>
  <si>
    <t>TIMESTAMP_</t>
  </si>
  <si>
    <t>solicitante</t>
  </si>
  <si>
    <t>buzon</t>
  </si>
  <si>
    <t>flete_solicitud</t>
  </si>
  <si>
    <t>estado2</t>
  </si>
  <si>
    <t>CORRELATIVO</t>
  </si>
  <si>
    <t>match</t>
  </si>
  <si>
    <t>autorizacion</t>
  </si>
  <si>
    <t>descripcion_adicional</t>
  </si>
  <si>
    <t>CENTRO DE SERVICIO -  AVON</t>
  </si>
  <si>
    <t>CAJAS</t>
  </si>
  <si>
    <t>fecha_solicitud</t>
  </si>
  <si>
    <t>TIMESTAMP_3</t>
  </si>
  <si>
    <t/>
  </si>
  <si>
    <t>Despachado</t>
  </si>
  <si>
    <t>OTROS</t>
  </si>
  <si>
    <t>SAN MARTIN</t>
  </si>
  <si>
    <t>NO TIENA DINERO</t>
  </si>
  <si>
    <t>11</t>
  </si>
  <si>
    <t>RECOGE EN BODEGA</t>
  </si>
  <si>
    <t>GERENTE</t>
  </si>
  <si>
    <t>ZACATE</t>
  </si>
  <si>
    <t>AUTO Ó BOLETA</t>
  </si>
  <si>
    <t>OBSERVACIONES</t>
  </si>
  <si>
    <t>ZONA</t>
  </si>
  <si>
    <t>CAMPAÑA</t>
  </si>
  <si>
    <t>ARELI</t>
  </si>
  <si>
    <t>ALTAVISTA</t>
  </si>
  <si>
    <t>DIANA MARISOL TORRES</t>
  </si>
  <si>
    <t>CTON EL ROSARIO KM 4 EN CASA DE PROMOTORA DE SALUD SAN MARTIN SAN SALVADOR</t>
  </si>
  <si>
    <t>70014363</t>
  </si>
  <si>
    <t>TOMASA ESTER RIVAS VIDES</t>
  </si>
  <si>
    <t>MARIA ESTER GARCIA</t>
  </si>
  <si>
    <t>BO. LA CRUZ CTGO AL RASTRO CASA 28 LA PAZ ZACATECOLUCA</t>
  </si>
  <si>
    <t>75598672</t>
  </si>
  <si>
    <t>ISIS AMERICA BAIRES ORTIZ</t>
  </si>
  <si>
    <t>CLL A CRIO SITIO GRANDE FTE A ARBOL DE AGUACATE SN JUAN OPICO LA LIBERTAD</t>
  </si>
  <si>
    <t>SAUL</t>
  </si>
  <si>
    <t>NEJAPA</t>
  </si>
  <si>
    <t>MIRIAN CONSUELO GUARDADO  DE ORTIZ</t>
  </si>
  <si>
    <t>COL. EUROPA 2 PSJE. 3 CSA # 1189 SOBRE LA CALLE  REAL SANTA TECLA L.L.</t>
  </si>
  <si>
    <t>72655705</t>
  </si>
  <si>
    <t>MAYRA</t>
  </si>
  <si>
    <t>SANTA TECLA</t>
  </si>
  <si>
    <t>ANA GLORIA DERAS</t>
  </si>
  <si>
    <t>COLONIA SANTA TERESITA PJE 2 POLG A N.26SAN MARTIN</t>
  </si>
  <si>
    <t>21008691</t>
  </si>
  <si>
    <t>76129128</t>
  </si>
  <si>
    <t>NO DEJO BOLETA DE DEPOSITO</t>
  </si>
  <si>
    <t>ANTONIA  ORELLANA MARTINEZ</t>
  </si>
  <si>
    <t>URB. PROYECTO SANTA TERESA CALLE AL PREGON PSJE. 24 POLG. "B" # 36 SAN MARTIN SAN SALVADOR **</t>
  </si>
  <si>
    <t>76412711</t>
  </si>
  <si>
    <t>LEONOR  GARCIA</t>
  </si>
  <si>
    <t>COL STA TERESA PJE 8-B CASA 60 SAN MARTIN</t>
  </si>
  <si>
    <t>74421649</t>
  </si>
  <si>
    <t>LUIS ANTHONY NOLASCO LOZANO</t>
  </si>
  <si>
    <t>FNAL 1 AV NTE COL ROSALINDA CASA 13 SAN SALVADOR SAN MARTIN **</t>
  </si>
  <si>
    <t>63001774</t>
  </si>
  <si>
    <t>MARIA MAGDALENA GARCIA VASQUEZ</t>
  </si>
  <si>
    <t>LOTIFICACION SAN CARLOS BLOCK 2 # 14 CTGUO. A COL. MARQUEZ SAN MARTIN SAN SALVADOR **</t>
  </si>
  <si>
    <t>62030707</t>
  </si>
  <si>
    <t>ROSA LINA MARROQUIN QUIJANO</t>
  </si>
  <si>
    <t>PSJE. BARRERA # 3 SAN MARTIN SAN SALVADOR **</t>
  </si>
  <si>
    <t>77186068</t>
  </si>
  <si>
    <t>CLAUDIA ANDREA MEDINA</t>
  </si>
  <si>
    <t>CLL PPAL AL PROYECTO CHALETH 2 SAN MARTIN S.S.</t>
  </si>
  <si>
    <t>70007822</t>
  </si>
  <si>
    <t>73641295</t>
  </si>
  <si>
    <t>ANA SILVIA SANCHEZ GUZMAN</t>
  </si>
  <si>
    <t>COM. LOS OLIVOS OTE CLL VIEJA CASA 20 SAN MARTIN</t>
  </si>
  <si>
    <t>22954074</t>
  </si>
  <si>
    <t>MARIA FIDELINA RAMIREZ  VDA DE DE PAUL</t>
  </si>
  <si>
    <t>BO EL CALVARIO CL PPAL ABAJO EL CALVARIO5 CASAS ANTES DE TEMPLO CATOLICA SAN JUAN NCO LA PAZ</t>
  </si>
  <si>
    <t>73949849</t>
  </si>
  <si>
    <t>SANTIGO NONUALCO</t>
  </si>
  <si>
    <t>JULIO CESAR ALFARO MARTINEZ</t>
  </si>
  <si>
    <t>LOTIFICACION SAN MARTIN ENTRADA PPAL. ENLA CALLE PRIMERA TIENDA GABRIEL ZACATECOLUCA LA PAZ **</t>
  </si>
  <si>
    <t>63002143</t>
  </si>
  <si>
    <t>YANETH DEL CARMEN DELEON</t>
  </si>
  <si>
    <t>AV. ALFREDO ESPINO CSA. # 41 SANTIAGO NONUALCO LA PAZ **</t>
  </si>
  <si>
    <t>73678692</t>
  </si>
  <si>
    <t>LIDIA YANETH MENDOZA GARCIA</t>
  </si>
  <si>
    <t>BO. CONCEPCION 70 MTS ABAJO DE LA HERMITA DE SAN JUAN NONUALCO COMO QUE VAPARA  LOS ORTICES LA PAZ SAN JUAN NONUA</t>
  </si>
  <si>
    <t>72402831</t>
  </si>
  <si>
    <t>MARIA ISABEL PINEDA DE PANIAGUA</t>
  </si>
  <si>
    <t>BO. EL CALVARIO  PJE 14 DE FEBRERO LA PAZ SAN JUAN NONUALCO BO. EL CALVARIO **</t>
  </si>
  <si>
    <t>73743420</t>
  </si>
  <si>
    <t>74733420</t>
  </si>
  <si>
    <t>MARIA MADAI RODRIGUEZ AMAYA</t>
  </si>
  <si>
    <t>CTON SN JERONIMO CRIO SN JERONIMO DESP DE ESCUELA S/N SN RAFAEL OBRAJUELO</t>
  </si>
  <si>
    <t>78661685</t>
  </si>
  <si>
    <t>73618753</t>
  </si>
  <si>
    <t>SAN RAFAEL</t>
  </si>
  <si>
    <t>JENNY MARISOL GUARITA GARCIA</t>
  </si>
  <si>
    <t>BO. EL CENTRO NIVEL 1 CTGUO. DE HERBALIFE AV. EL PROGRESO 3-B PUESTO CALZADO SANTIAGO NONUALCO LA PAZ **</t>
  </si>
  <si>
    <t>NADIE EN CASA</t>
  </si>
  <si>
    <t>BLANCA ARACELY PALACIOS</t>
  </si>
  <si>
    <t>CTON LA PALMA PUENTE 58 AUTOPISTA CALLE HACIA LA PALMA MANO DERECHA ENTRARCALLEJON AL FINAL</t>
  </si>
  <si>
    <t>73807721</t>
  </si>
  <si>
    <t>ELSA PATRICIA HERNANDEZ  DE DELGADO</t>
  </si>
  <si>
    <t>BO. GUADALUPE CALLE A OSTUMA A LA PAR DEIGLESIA 7o. DIA SAN PEDRO NONUALCO LA PAZ **</t>
  </si>
  <si>
    <t>77795658</t>
  </si>
  <si>
    <t>79795658</t>
  </si>
  <si>
    <t>JULIA  HERNANDEZ LOPEZ</t>
  </si>
  <si>
    <t>BO. EL ANGEL CARR. HACIA ZACATECOLUCA I CDRA. AL PTE. DE ABARROTERIA O PARADA DE BUSES EN PUESTO DEL MDO. FTE. A A</t>
  </si>
  <si>
    <t>77267464</t>
  </si>
  <si>
    <t>ROSARIO</t>
  </si>
  <si>
    <t>MARIA DELMY RIVAS DE CARBALLO</t>
  </si>
  <si>
    <t>CLL PPAL A LA PAR DE IGLESIA CATOLICA VTA DE GUAYABAS PUESTO 5 LA PAZ EL ROSARIO BO. EL CENTRO **</t>
  </si>
  <si>
    <t>23303430</t>
  </si>
  <si>
    <t>74984276</t>
  </si>
  <si>
    <t>BLANCA JANETTE ZAMORA  DE MENDOZA</t>
  </si>
  <si>
    <t>COLONIA CIDECO PJE A CASA 4 SAN LUIS LA HERRADURA</t>
  </si>
  <si>
    <t>23026458</t>
  </si>
  <si>
    <t>74235592</t>
  </si>
  <si>
    <t>HERRADURA</t>
  </si>
  <si>
    <t>ANGELA DE JESUS CLAROS ORELLANA</t>
  </si>
  <si>
    <t>COL LOS ANGELES POL A CASA 10 LA HERRADURA LA PAZ **</t>
  </si>
  <si>
    <t>73892434</t>
  </si>
  <si>
    <t>MEANZA VERONICA GONZALES SORIANO</t>
  </si>
  <si>
    <t>EL LLANO CRIO EL LLANO CASA S/N CLL AL CEMENTERIO LA PAZ LA HERRADURA EL LLANO</t>
  </si>
  <si>
    <t>79265403</t>
  </si>
  <si>
    <t>CAROLINA  GARCIA SANCHEZ</t>
  </si>
  <si>
    <t>CUMBRES DE SAN BARTOLO POL 60 AV LA CEIBA CASA 25 SAN BARTOLO TONACATEPEQUE SAN SALVADOR  ILOPANGO</t>
  </si>
  <si>
    <t>79503292</t>
  </si>
  <si>
    <t>YOLANDA BERNABE CORTEZ</t>
  </si>
  <si>
    <t>CIMAS DE SAN BARTOLO 2 PJE 40 GPO 32 CASA 15-A TONACATEPEQUE S.S.</t>
  </si>
  <si>
    <t>22086443</t>
  </si>
  <si>
    <t>71770596</t>
  </si>
  <si>
    <t>MARIA ETELVINA CARRANZA DE ROJAS</t>
  </si>
  <si>
    <t>CHALCHUAPA</t>
  </si>
  <si>
    <t>MARITZA CONCEPCION CORTEZ FLORES</t>
  </si>
  <si>
    <t>BLANCA LIDIA NERIO  DE ARDON</t>
  </si>
  <si>
    <t>CSRIO. LAS CRUCES CALLE LOS NARANJOS ENTRADA CTGUO. A PNC 3a. CASA SANTA ANA **</t>
  </si>
  <si>
    <t>72624870</t>
  </si>
  <si>
    <t>SANTA ANA</t>
  </si>
  <si>
    <t>ESTELA DEBORA CARVAJAL SIGUENZA</t>
  </si>
  <si>
    <t>FINAL 2 CALLE PTE CASA 12 BO SANTA CRUZ CHALCHUAPA</t>
  </si>
  <si>
    <t>76370662</t>
  </si>
  <si>
    <t>GUADALUPE</t>
  </si>
  <si>
    <t>CLAUDIA BEATRIZ CHAVEZ CRUZ</t>
  </si>
  <si>
    <t>SONIA MARISELA LOPEZ</t>
  </si>
  <si>
    <t>query</t>
  </si>
  <si>
    <t>ANA CECILIA RODRIGUEZ CANJURA</t>
  </si>
  <si>
    <t>HDA MAPILAPA CLLE A LA ESCUELA A LA PAR DE CANTARERA NEJAPA</t>
  </si>
  <si>
    <t>22010910</t>
  </si>
  <si>
    <t>75833671</t>
  </si>
  <si>
    <t>AMALIA DE LOS ANGELES RIVAS GARCIA</t>
  </si>
  <si>
    <t>COL JARDINES DE MADRE TIERRA GRUPO 10 PJE 5 CASA 12 APOPA SAN SALVADOR APOPA</t>
  </si>
  <si>
    <t>72328641</t>
  </si>
  <si>
    <t>SALA DE TE</t>
  </si>
  <si>
    <t>MARTA JULIA VELASQUEZ  VDA. DE FRANCO</t>
  </si>
  <si>
    <t>COL. SUCHINANGO CALLE PPAL. CASA # 153 NEJAPA SAN SALVADOR **</t>
  </si>
  <si>
    <t>78462962</t>
  </si>
  <si>
    <t>MARIA ESTELA MARTINEZ  DE ORELLANA</t>
  </si>
  <si>
    <t>PARCELACION EL ANGEL CALLE EL PALMAR LOTE # 6 APOPA SAN SALVADOR **</t>
  </si>
  <si>
    <t>61450691</t>
  </si>
  <si>
    <t>ROSA MIRIAN RAMOS APARICIO</t>
  </si>
  <si>
    <t>3 CEIBAS ARRIBA DE COMUNIDAD FE Y ESPERANZA POLG A N.13 APOPA</t>
  </si>
  <si>
    <t>74368216</t>
  </si>
  <si>
    <t>79727819</t>
  </si>
  <si>
    <t>MOISES</t>
  </si>
  <si>
    <t>DAYSI ESTELA BARRIOS NAVARRETE</t>
  </si>
  <si>
    <t>CTON CONACASTE FINCA EL CASTAÑO NEJAPA SAN SALVADOR</t>
  </si>
  <si>
    <t>71686992</t>
  </si>
  <si>
    <t>AMABEL MARLENY MEJIA MARQUINA</t>
  </si>
  <si>
    <t>BO. DE MERCEDES PSJE. 1 CSA # 13 NEJAPA SAN SALVADOR</t>
  </si>
  <si>
    <t>25637596</t>
  </si>
  <si>
    <t>MARISELA ELIZABETH ARCE TORRES</t>
  </si>
  <si>
    <t xml:space="preserve">CTON. SANTA ROSA COL. LUPITA PSJE. 2  18UNA CALLE ANTES DE LA PARADA LA CEIBA CERCA DE LA TIENDA CASA DE ESQUINA </t>
  </si>
  <si>
    <t>71732153</t>
  </si>
  <si>
    <t>NOHEMI</t>
  </si>
  <si>
    <t>DAISY YANETH MIRANDA MARROQUIN</t>
  </si>
  <si>
    <t>CASERIO PETACONES PJE CANDILES EL ANGEL A LA PAR DE IGLESIA PRINCIPE DE PAZ NEJAPA SAN SALVADOR **</t>
  </si>
  <si>
    <t>75954255</t>
  </si>
  <si>
    <t>MIRNA IDALIA ESCOBAR CUBAS</t>
  </si>
  <si>
    <t>COLONIA NUEVA APOPA PJE 10 PTE CASA 29 APOPA</t>
  </si>
  <si>
    <t>77913378</t>
  </si>
  <si>
    <t>79963467</t>
  </si>
  <si>
    <t>SARITA</t>
  </si>
  <si>
    <t>PETRONA ISABEL SANCHEZ  DE MOLINA</t>
  </si>
  <si>
    <t>COL. EL CEDRAL PSJE. "C" LOTE # 46 NEJAPA SAN SALVADOR **</t>
  </si>
  <si>
    <t>71043311</t>
  </si>
  <si>
    <t>MAX</t>
  </si>
  <si>
    <t>KARLA ELIZABETH GUEVARA JOYA</t>
  </si>
  <si>
    <t>URB. CIUDAD OBRERA APOPA NTE. 2 PSJE. 6 PTE. BLOCK 6 # 42 APOPA SAN SALVADOR</t>
  </si>
  <si>
    <t>SONIA ELIZABETH MARTINEZ RAMOS</t>
  </si>
  <si>
    <t>CALLE A SITIO GRANDE HACIENDA CHANMICO FTE. A ARBOL DE JOCOTE SAN JUAN OPICO LA LIBERTAD**</t>
  </si>
  <si>
    <t>71385790</t>
  </si>
  <si>
    <t>REINA ISABEL RODRIGUEZ  VDA. DE PEREZ</t>
  </si>
  <si>
    <t>URB. SAN ANDRES PSJE. 3 POLG. "M" # 311 APOPA SAN SALVADOR **</t>
  </si>
  <si>
    <t>73224648</t>
  </si>
  <si>
    <t>MARIA CORINA PORTILLO PORTILLO</t>
  </si>
  <si>
    <t>USULUTAN</t>
  </si>
  <si>
    <t>MARTHA LILIAN RIVERA DE QUINTANILLA</t>
  </si>
  <si>
    <t>REINA ISABEL ROMERO DE CALLEJAS</t>
  </si>
  <si>
    <t>ROLANDO ERNESTO BONILLA</t>
  </si>
  <si>
    <t>REYNA ELIZABETH BENITES DE HDEZ</t>
  </si>
  <si>
    <t>JACQUELINE BEATRIZ SANTOS YANES</t>
  </si>
  <si>
    <t>SANDRA DEL CARMEN MEDINA ROMERO</t>
  </si>
  <si>
    <t>MARIA SONIA AMAYA</t>
  </si>
  <si>
    <t>GABRIELA CAROLINA GARCIA TORRES</t>
  </si>
  <si>
    <t>COLONIA IVU PJE 5 CASA 104 PUERTO EL TRIUNFO USULUTAN</t>
  </si>
  <si>
    <t>78952730</t>
  </si>
  <si>
    <t>MARIA SONIA MARTINEZ RODRIGUEZ</t>
  </si>
  <si>
    <t>COL USULUTAN POL 1 CASA 7 LA PEÑA USULUTAN **</t>
  </si>
  <si>
    <t>26375910</t>
  </si>
  <si>
    <t>77167014</t>
  </si>
  <si>
    <t>OLGA ESMERALDA ROBLES TEJADA</t>
  </si>
  <si>
    <t>FINCA LAS VERANERAS 1/2 CDRA ANTES DEL GPO TECAPAN USULUTAN</t>
  </si>
  <si>
    <t>77764143</t>
  </si>
  <si>
    <t>MARIA DEL CARMEN BERMUDEZ  DE MARTINEZ</t>
  </si>
  <si>
    <t>BO LA MERCED 4 CALLE PTE BO LA MERCED JIQUILISCO USULUTAN</t>
  </si>
  <si>
    <t>61386401</t>
  </si>
  <si>
    <t>MARIA INES MARTINEZ</t>
  </si>
  <si>
    <t>CTON SAN JOSE CRIO EL MARTILLO ENTRADA ALA HDA JIQUILISCO A LA DERECHA DEPUERTON EL ANGER USULUTA</t>
  </si>
  <si>
    <t>78273696</t>
  </si>
  <si>
    <t>FATIMA GRISEL HERNANDEZ</t>
  </si>
  <si>
    <t>COL. LA FLORIDA PASO GUALACHE CASA S/N FTE. DE LA TIENDA TECAPAN USULUTAN</t>
  </si>
  <si>
    <t>77756081</t>
  </si>
  <si>
    <t>JOSE ALCIDES ALVARADO BONILLA</t>
  </si>
  <si>
    <t>SANDRA YESENIA GUZMAN DE BONILLA</t>
  </si>
  <si>
    <t>MARIA MAGDALENA MARTINEZ</t>
  </si>
  <si>
    <t>CRIO RIVERA MUÑOZ CTON LA PRESA UNA CDRADESPUES DEL CAMPO CASA DE LA ESQUINA COLOR BLANCO CON ROJO 1 CASA DESPUES</t>
  </si>
  <si>
    <t>61282779</t>
  </si>
  <si>
    <t>XIOMARA GUADALUPE ULLOA HERRERA</t>
  </si>
  <si>
    <t>RPTO EL AMATE PASE 1 USULUTAN POR DONDE LA CONSEJERA DIGNA ISABEL USULUTAN**</t>
  </si>
  <si>
    <t>72649432</t>
  </si>
  <si>
    <t>MARTA ALICIA NUILA HERNANDEZ</t>
  </si>
  <si>
    <t>RESD LA PRADERA PJE 3 CASA 37 FRENTE AL COD JUVENIL USULUTAN **</t>
  </si>
  <si>
    <t>26246055</t>
  </si>
  <si>
    <t>TELIA ATILSA MARTINEZ AMAYA</t>
  </si>
  <si>
    <t>BO. ANALCO 5 CLL OTE CASA 22 SANTA ELENAUSULUTAN</t>
  </si>
  <si>
    <t>26634919</t>
  </si>
  <si>
    <t>NORA RAQUEL BAÑOS MOREJON</t>
  </si>
  <si>
    <t>CLL LITORAL KM 35 BO. EL CALVARIO ANDA 2071 PORTON NEGRO CASA A LA ORILLA DE LA CARRET ANTES DE LLEGAR A EDIF. FUC</t>
  </si>
  <si>
    <t>76527057</t>
  </si>
  <si>
    <t>SILVIA</t>
  </si>
  <si>
    <t>SAN LUIS TALPA</t>
  </si>
  <si>
    <t>MARIA ELENA URRUTIA DE GUILLEN</t>
  </si>
  <si>
    <t>CLL PPAL LOT. EL ZAPOTE 30 MTS AL NTE DECARRET ABAJO DEL INSTITUTO OLOCUILTA LA PAZ LA PAZ OLOCUILTA EL ZAPOTE</t>
  </si>
  <si>
    <t>71174620</t>
  </si>
  <si>
    <t>61060552</t>
  </si>
  <si>
    <t>NORMA</t>
  </si>
  <si>
    <t>OLOCUILTA</t>
  </si>
  <si>
    <t>SORAYA YAMILETH GONZALEZ PEÑA</t>
  </si>
  <si>
    <t>LOTF LA PONDEROSA POL 28 CASA DEL BORDO MANO DERECHA AL FONDO SAN LUIS TALPA COMALAPA LA PAZ</t>
  </si>
  <si>
    <t>72236421</t>
  </si>
  <si>
    <t>NERY MARTINEZ</t>
  </si>
  <si>
    <t>NELY ESMERALDA CRUZ RAMOS</t>
  </si>
  <si>
    <t>COL STA FE FINAL CALLE B CASA 23 SN MARCOS SAN SALVADOR</t>
  </si>
  <si>
    <t>73041569</t>
  </si>
  <si>
    <t>74467729</t>
  </si>
  <si>
    <t>ERSIDIA</t>
  </si>
  <si>
    <t>SAN MARCOS</t>
  </si>
  <si>
    <t>MADALIS MARITZA DE LEON</t>
  </si>
  <si>
    <t>COL MONTELIMAR BLOCK E POL 5 P.3 CASA 27LA PAZ OLOCUILTA MONTELIMAR **</t>
  </si>
  <si>
    <t>77831576</t>
  </si>
  <si>
    <t>SANTO TOMAS</t>
  </si>
  <si>
    <t>MARTHA LILIAN GUEVARA</t>
  </si>
  <si>
    <t>CTON CUAPA CLL LA CUESTA A LOS MEDRANOS CASA 2 SANTO TOMAS</t>
  </si>
  <si>
    <t>21000716</t>
  </si>
  <si>
    <t>70559411</t>
  </si>
  <si>
    <t>YESENIA ESPERANZA GRACIAS DE LEMUS</t>
  </si>
  <si>
    <t>URB BRISAS DE SAN MARCOS PJE PPAL POL B CASA 16 SAN MARCOS SAN SALVADOR **</t>
  </si>
  <si>
    <t>71241832</t>
  </si>
  <si>
    <t>71241932</t>
  </si>
  <si>
    <t>LIDIA  GOMEZ MULATO</t>
  </si>
  <si>
    <t>COL. LAS CAMPANITAS NORTE AVE. DANUBIO CASA #18 SAN MARCOS SAN SALVADOR</t>
  </si>
  <si>
    <t>22130113</t>
  </si>
  <si>
    <t>KAREN ESMERALDA RAMIREZ GARCIA</t>
  </si>
  <si>
    <t>CTON. CUAPA CSA. S/N POR PARRA DE VERANERA SANTO TOMAS SAN SALVADOR</t>
  </si>
  <si>
    <t>76212889</t>
  </si>
  <si>
    <t>KEREN</t>
  </si>
  <si>
    <t>BERSSIE MARIELA GAMEZ CAMPOS</t>
  </si>
  <si>
    <t>CTON LA CUCHILLA CNO  CALLE AL GUACHIPILIN SANTIAGO TEXACUANGOS</t>
  </si>
  <si>
    <t>77798900</t>
  </si>
  <si>
    <t>TEXACUANGO</t>
  </si>
  <si>
    <t>MARIA LUZ QUINTANILLA ESCOBAR</t>
  </si>
  <si>
    <t>URB EL BOTONCILLAL PJE LAS MORAS CASA 11LOURDES COLON LA LIBERTAD</t>
  </si>
  <si>
    <t>71503641</t>
  </si>
  <si>
    <t>71711778</t>
  </si>
  <si>
    <t>CLAUDIA</t>
  </si>
  <si>
    <t>LOURDES</t>
  </si>
  <si>
    <t>HEIDY NOEMI HERNANDEZ CARCAMO</t>
  </si>
  <si>
    <t>CTON. EL BOTONCILLAL LOTIFICACION EL MILAGRO 2 CALLE A LAS MORAS LOURDES COLON LA LIBERTAD **</t>
  </si>
  <si>
    <t>75158532</t>
  </si>
  <si>
    <t>MEYBI GUADALUPE PALACIOS PICHE</t>
  </si>
  <si>
    <t>COL CALIFORNIA CL PPAL CASA 30 LOURDES COLON LA LIBERTAD HDA NUEVA</t>
  </si>
  <si>
    <t>71522238</t>
  </si>
  <si>
    <t>CLAUDIA ORBELINA CEA SOSA</t>
  </si>
  <si>
    <t>COL MONTE MARIA PJE 1 LOTE 27 CTON ATEOSSACACOYO LA LIBERTAD</t>
  </si>
  <si>
    <t>75082298</t>
  </si>
  <si>
    <t>MARIA INES RAMOS  DE BLANCO</t>
  </si>
  <si>
    <t>COM. 13 DE ENERO POLG. 5 CASA 3 CTON. SAN JOSE TALNIQUE LA LIBERTAD</t>
  </si>
  <si>
    <t>77964553</t>
  </si>
  <si>
    <t>79079708</t>
  </si>
  <si>
    <t>SARA LISETH CHAVEZ GOMEZ</t>
  </si>
  <si>
    <t>COL JARDINES DE COLON POL 38 CASAC 6 DONDE COMPRAN CHATARRA COLON LA LIBERTAD</t>
  </si>
  <si>
    <t>77161454</t>
  </si>
  <si>
    <t>23283860</t>
  </si>
  <si>
    <t>CECILIA</t>
  </si>
  <si>
    <t>ANA GUADALUPE REYES  DE DURAN</t>
  </si>
  <si>
    <t>PJE GUARDADO Y 2A AV SUR BO SN JOSE EN LOS APTOS ALTAMIRA JAYAQUE LA LIBERTAD**</t>
  </si>
  <si>
    <t>73633745</t>
  </si>
  <si>
    <t>ANGELICA  PALMA ESCAMILLA</t>
  </si>
  <si>
    <t>AVENIDA STABEN BARRIO EL CARMEN 5TA CALLE PONIENTE CONTIGUO A PNC JAYAQUE</t>
  </si>
  <si>
    <t>77999581</t>
  </si>
  <si>
    <t>76427507</t>
  </si>
  <si>
    <t>GUDELIA JANIRA AQUINO  DE GUILLEN</t>
  </si>
  <si>
    <t>AV. STEVEN NORTE # 27 JAYAQUE LA LIBERTAD **</t>
  </si>
  <si>
    <t>23465043</t>
  </si>
  <si>
    <t>ANA GLORIA REGALADO UMAÑA</t>
  </si>
  <si>
    <t>CTON LLANO DE LA MEJADA CRIO EL CHILAMATE CLL PPAL ULTIMO CALLEJON A MANO IZQUIERDA CASA S/N DE LADRILLO DESPUES D</t>
  </si>
  <si>
    <t>75210155</t>
  </si>
  <si>
    <t>ANA</t>
  </si>
  <si>
    <t>METAPAN</t>
  </si>
  <si>
    <t>DORA ALICIA TEJADA DE CASTRO</t>
  </si>
  <si>
    <t>CTON EL LIMO CRIO EL CHAGUITE KM 121 4TACASA ARRIBA DE IGLESIA DE DIOS SANTA ANA METAPAN</t>
  </si>
  <si>
    <t>72414565</t>
  </si>
  <si>
    <t>EDITH ESMERALDA SANTAMARIA RODRIGUEZ</t>
  </si>
  <si>
    <t xml:space="preserve">CTON LAS PIEDRAS EL SITIO METAPAN A LA PAR DE IGLESIA CATOLICA 1RA ENTRADAA MANO IZQ. CASA S/N SANTA ANA METAPAN </t>
  </si>
  <si>
    <t>79296293</t>
  </si>
  <si>
    <t>MARIA JULIA MENJIVAR FLORES</t>
  </si>
  <si>
    <t>SONIA ELIZABETH MUÑEZ MARTINEZ</t>
  </si>
  <si>
    <t>BO. LAS FLORES AV BENJAMIN ESTRADA VALIENTE PJE EL LIMON CTGO A DONDE VIVIA DON CHINDO METAPAN SANTA ANA **</t>
  </si>
  <si>
    <t>74913235</t>
  </si>
  <si>
    <t>ANA ELSA COLINDRES</t>
  </si>
  <si>
    <t>CTON SAN JOSE INGENIO CRIO CASAS DE TEJAS 6 CASAS DESPUES DE LA ANTENA LADO DERECHO CASA ORILLA DE LA CLL SANTA AN</t>
  </si>
  <si>
    <t>74807544</t>
  </si>
  <si>
    <t>ANA ORBELINA ALEMAN</t>
  </si>
  <si>
    <t>CLL PPAL ANTES DE ESCUELA EL CHAPARRON N.3 CRIO EL CHAPARRON SANTA ANA **</t>
  </si>
  <si>
    <t>24135680</t>
  </si>
  <si>
    <t>DALILA</t>
  </si>
  <si>
    <t>SILVIA ETELINDA ARCE DE TORRES</t>
  </si>
  <si>
    <t>COL RIO ZARCO 3 ETAPA PJE COATEPEQUE CASA 74 SANTA ANA **</t>
  </si>
  <si>
    <t>MARTA GRICELDA FIGUEROA</t>
  </si>
  <si>
    <t>COL BRISAS DEL SUR CLL ANTIGUA A SANTA ANA CASA S/N DESPUES ESCUELA TURQUIA ANTES CONSEJERA GLORIA SANTA ANA METAP</t>
  </si>
  <si>
    <t>74788450</t>
  </si>
  <si>
    <t>OLGA MARINA MENDEZ DE SALVADOR</t>
  </si>
  <si>
    <t>SAN IGNACIO CLL EL CARMEN CLL SHALON PARA ABAJO EN UNA TIENDA CHALATENANGOSAN IGNACIO</t>
  </si>
  <si>
    <t>75647029</t>
  </si>
  <si>
    <t>LA PALMA</t>
  </si>
  <si>
    <t>INGRID DYANIRA AVALOS DE CONTRERAS</t>
  </si>
  <si>
    <t>BO. EL CENTRO FTE A TELECOM LA PALMA CHALATENANGO **</t>
  </si>
  <si>
    <t>77300612</t>
  </si>
  <si>
    <t>CAROLINA ELIZABETH VASQUEZ  DE DIAZ</t>
  </si>
  <si>
    <t>SAN IGNACIO CHALATENANGO BO EL CENTRO CTGO AL JUZGADO DE PAZ SAN IGNACIO CHALATENANGO</t>
  </si>
  <si>
    <t>23529264</t>
  </si>
  <si>
    <t>75789767</t>
  </si>
  <si>
    <t>ESPERANZA  GAMERO MENDEZ</t>
  </si>
  <si>
    <t>CHALATENANGO SAN BARTOLO CRIO EL LIMON **</t>
  </si>
  <si>
    <t>79347861</t>
  </si>
  <si>
    <t>ALVARO</t>
  </si>
  <si>
    <t>CHALATENANGO</t>
  </si>
  <si>
    <t>VELKY LUCIA SALAZAR</t>
  </si>
  <si>
    <t>CTON. SAN BARTOLO CSRIO. EL LIMON CHALATENANGO **</t>
  </si>
  <si>
    <t>60033365</t>
  </si>
  <si>
    <t>YESENIA ELIZABETH MENJIVAR JIMENEZ</t>
  </si>
  <si>
    <t>BO LA SIERPE SECTOR 3 CASA 2 CHALATENANGO</t>
  </si>
  <si>
    <t>23010667</t>
  </si>
  <si>
    <t>77538308</t>
  </si>
  <si>
    <t>MARTA EDIS RIVAS AMAYA</t>
  </si>
  <si>
    <t>COL. NUEVOS HORIZONTES PSJE. # 7 CASA # 5 ILOPANGO SAN SALVADOR **</t>
  </si>
  <si>
    <t>7424060</t>
  </si>
  <si>
    <t>74234060</t>
  </si>
  <si>
    <t>CELINA EVELYN LARIOS HENRIQUEZ</t>
  </si>
  <si>
    <t>COM LA SELVA PJE 12 CASA 2 ILOPANGO SAN SALVADOR APULO</t>
  </si>
  <si>
    <t>776762735</t>
  </si>
  <si>
    <t>FIDELINA</t>
  </si>
  <si>
    <t>ANA JULIA MOZO</t>
  </si>
  <si>
    <t>CRIO ABAJO CLL EL RINCON SAN AGUSTIN ANTES DE LA COMUNAL CUSCATLAN CUSCATLAN SAN PEDRO PERULAPAN **</t>
  </si>
  <si>
    <t>70641208</t>
  </si>
  <si>
    <t>LUCIA</t>
  </si>
  <si>
    <t>VICTORIA  PEREZ RIVERA</t>
  </si>
  <si>
    <t>CTON LA FLOR CALLE A SAN AGUSTIN CASERIOLOS MOLINAS ENTRADA A LA PAR DEL MURO CASA S/N</t>
  </si>
  <si>
    <t>71106321</t>
  </si>
  <si>
    <t>BLANCA</t>
  </si>
  <si>
    <t>JOSE ALFREDO CRUZ PACHECO</t>
  </si>
  <si>
    <t>PJE 5-A CASA 17 SAN MARTIN SAN SALVADOR COL STA TERESA</t>
  </si>
  <si>
    <t>70882051</t>
  </si>
  <si>
    <t>MARGARITA</t>
  </si>
  <si>
    <t>MARIA ARACELIA FUENTES SANCHEZ</t>
  </si>
  <si>
    <t>URB. PROYECTO SANTA TERESA PSJE. 9 "B" CSA # 4 SAN MARTINSAN SALVADOR **</t>
  </si>
  <si>
    <t>74661349</t>
  </si>
  <si>
    <t>LUCIANA JUDITH MENDOZA PARADA</t>
  </si>
  <si>
    <t>COL SANTA TERESA PJE 7 B N.48 SAN MARTINSAN SALVADOR</t>
  </si>
  <si>
    <t>75569599</t>
  </si>
  <si>
    <t>MARIA ESTER PORTILLO MENJIVAR</t>
  </si>
  <si>
    <t>FTE A CONS. GENOVEVA DIAZ SUCHITOTO CUSCATLAN CRIO VALLE VERDE CTON PLANATARES</t>
  </si>
  <si>
    <t>76515527</t>
  </si>
  <si>
    <t>AGUILARES</t>
  </si>
  <si>
    <t>ROSA DEL CARMEN AGUILAR RIVERA</t>
  </si>
  <si>
    <t>CTON HUILUPA LA CABAÑA SAN SALVADOR EL PAISNAL **</t>
  </si>
  <si>
    <t>25136340</t>
  </si>
  <si>
    <t>MARTA SONIA SOMOZA DE PEREZ</t>
  </si>
  <si>
    <t>CRIO HUITIPA CTON SAN RAFAEL LA CABAÑA APAR DE UN MOLINO SAN SALVADOR EL PAISNAL CRIO HUITUPA **</t>
  </si>
  <si>
    <t>78574564</t>
  </si>
  <si>
    <t>GUADALUPE DE MARIA MARROQUIN</t>
  </si>
  <si>
    <t>COL SAN JOSE CALLE PPAL BLOCK 5 CASA 9 FTE A PANADERIA AGUILARES</t>
  </si>
  <si>
    <t>78285004</t>
  </si>
  <si>
    <t>IMELDA ARACELY NOYOLA AVALOS</t>
  </si>
  <si>
    <t>URB SAN JOSE LAS FLORES BLOCK 22 PJE 18 CASA 10 TONACATEPEQUE SAN SALVADOR</t>
  </si>
  <si>
    <t>79568167</t>
  </si>
  <si>
    <t>TONACA</t>
  </si>
  <si>
    <t>ANA ADELAIDA RAYMUNDO DE GARCIA</t>
  </si>
  <si>
    <t>PJE 32 BLOCK 35 CASA 2 TONACATEPEQUE SANSALVADOR SAN JOSE LAS FLORES **</t>
  </si>
  <si>
    <t>22036158</t>
  </si>
  <si>
    <t>74698629</t>
  </si>
  <si>
    <t>ARACELI  QUINTANILLA  DE GALICIAS</t>
  </si>
  <si>
    <t>RESD LIBERTAD PJE 10 POL B CASA 392 TONACATEPEQUE SAN SALVADOR</t>
  </si>
  <si>
    <t>76777207</t>
  </si>
  <si>
    <t>ZONIA ALICIA ALEMAN</t>
  </si>
  <si>
    <t>BO. EL CENTRO 8 CLL PTE Y 3 AV SUR EN SALA DE BELLEZA 2 CASAS ANTES DE LA ALCALDIA MUNICIPAL DE NUEVA CONCEPCION C</t>
  </si>
  <si>
    <t>77061263</t>
  </si>
  <si>
    <t>NUEVA CONCEPCION</t>
  </si>
  <si>
    <t>ANA YANIRA ESQUIVEL</t>
  </si>
  <si>
    <t>DISTRITO ITALIA N 2 POL 22 PJE 10 CASA 4TONACATEPEQUE</t>
  </si>
  <si>
    <t>76447911</t>
  </si>
  <si>
    <t>70670256</t>
  </si>
  <si>
    <t>JASMIN YESENIA LOPEZ RODRIGUEZ</t>
  </si>
  <si>
    <t>LOTIFICACION VALLE NUEVO # 5 CALLE NUEVAGUAZAPA SAN SALVADOR</t>
  </si>
  <si>
    <t>74642312</t>
  </si>
  <si>
    <t>78304493</t>
  </si>
  <si>
    <t>GUAZAPA</t>
  </si>
  <si>
    <t>GENOVEBA  DIAZ ALEMAN</t>
  </si>
  <si>
    <t>PLATANARES CSRIO. NUEVO VALLE VERDE POR CONSJ. TERESA DE JESUS A PAR DE LAIGLESIA SUCHITOTO CUSCATLAN</t>
  </si>
  <si>
    <t>72280173</t>
  </si>
  <si>
    <t>77598661</t>
  </si>
  <si>
    <t>GTE</t>
  </si>
  <si>
    <t>URB VALLE EL QUETZAL PJE LOS ABETOS CASA2 DOS CASAS ANTES DE CONS. MARIA MAGDALENA LAY</t>
  </si>
  <si>
    <t>23101128</t>
  </si>
  <si>
    <t>78111978</t>
  </si>
  <si>
    <t>GLORIA</t>
  </si>
  <si>
    <t>QUEZALTE</t>
  </si>
  <si>
    <t>FLOR DE M. ESCOBAR  DE RDGUEZ.</t>
  </si>
  <si>
    <t>CALLE A PLATANILLOS FINAL DE LAS PALMAS A LA IZQ. PORTON NEGRO QUEZALTEPEQUE L.L.</t>
  </si>
  <si>
    <t>78661545</t>
  </si>
  <si>
    <t>DINA YANETH MALDONADO GUZMAN</t>
  </si>
  <si>
    <t>COL SAN JOSE CALLE A LA TOMA PJE 1 CTGO AL MOLINO QUEZALTEPEQUE LA LIBERTAD</t>
  </si>
  <si>
    <t>76127678</t>
  </si>
  <si>
    <t>ZULEYMA GUADALUPE ASCENCIO LOPEZ</t>
  </si>
  <si>
    <t>LOTF ESTANZUELA PJE H 10 H LOTF ESTANZUELA 1 COSTADO OTE FTE CANCHA QUEZALTEPEQUE LA LIBERTAD</t>
  </si>
  <si>
    <t>76211926</t>
  </si>
  <si>
    <t>CECILIA DE LOS ANGELES GALVEZ SORTO</t>
  </si>
  <si>
    <t>COL SANTA MARIA 2 PJE 2 BLOCK 2 CASA 27 LA LIBERTAD QUEZALTEPEQUE **</t>
  </si>
  <si>
    <t>76454194</t>
  </si>
  <si>
    <t>GLENDA BELLAIL MELARA LOPEZ</t>
  </si>
  <si>
    <t>URB PRIMAVERA PJE 4 CASA 17 N QUEZALTEPEQUE</t>
  </si>
  <si>
    <t>MARCELINA DEL CARMEN HENRIQUEZ DE GALDAMEZ</t>
  </si>
  <si>
    <t>ASENTAMIWENTOS LOS CONEJOS POLIG A LOTE 42 CDAD ARCE  LA LIBERTAD SAN ANDRES CRIO LAS LOMAS **</t>
  </si>
  <si>
    <t>77922814</t>
  </si>
  <si>
    <t>OPICO</t>
  </si>
  <si>
    <t>HDA SAN ANDRES ACENTAMIENTO LOS CONEJOS LA LIBERTAD CD ARCE SAN ANDRES **</t>
  </si>
  <si>
    <t>76652354</t>
  </si>
  <si>
    <t>JACQUELINE GUADALUPE MENA ESPAÑA</t>
  </si>
  <si>
    <t>URB. SAN FRANCISCO BLOCK 20 # 24 SAN ANTONIO ABAD CIUDAD ARCE L.L.</t>
  </si>
  <si>
    <t>71598969</t>
  </si>
  <si>
    <t>KARLA LIZETH LOPEZ FUNES</t>
  </si>
  <si>
    <t>ACENTAMIENTO LA FIFI POL 1 LOT. 24 CD ARCE LA LIBERTAD VERACRUZ</t>
  </si>
  <si>
    <t>79648511</t>
  </si>
  <si>
    <t>CAROLINA</t>
  </si>
  <si>
    <t>ANA GLORIA RIOS</t>
  </si>
  <si>
    <t>CANTON LOS INDIOS CALLE LOS MARTIRES PASAJE LOS ENCUENTROS N.2 CIUDAD ARCELA LIBERTAD</t>
  </si>
  <si>
    <t>25343463</t>
  </si>
  <si>
    <t>76094178</t>
  </si>
  <si>
    <t>LEONOR  CASTILLO  DE RAMIREZ</t>
  </si>
  <si>
    <t>CALLE ANTIGUO A NEJAPA CASA 1 PORTON NEGRO PJE CASTILLO QUEZALTEPEQUE LA LIBERTAD</t>
  </si>
  <si>
    <t>70023398</t>
  </si>
  <si>
    <t>MARIA MERCEDONIA ELIAS  DE PICHINTE</t>
  </si>
  <si>
    <t>BO. SAN LUIS PSJE. 3 20 MTS. AL NTE. DELESTERO FNL. CALLE LA TROJONA AL SUR SAN LUIS LA HERRADURA LA PAZ</t>
  </si>
  <si>
    <t>23650690</t>
  </si>
  <si>
    <t>JESSICA ELIZABETH RIVAS GUERRERO</t>
  </si>
  <si>
    <t>COL. NICARAGUA PSJE. # 3 CASA # 6 POR LACANCHA DE FUTBOL SAN PEDRO MASAHUAT LA PAZ **</t>
  </si>
  <si>
    <t>61249999</t>
  </si>
  <si>
    <t>MORENA DEL CARMEN MORAN LEIVA</t>
  </si>
  <si>
    <t>COL BUENA VISTA PJE N.3 CASA PORTON NEGRO CONTIGUO A TIENDA SANTIAGO NONUALCO LA PAZ</t>
  </si>
  <si>
    <t>78649188</t>
  </si>
  <si>
    <t>73605310</t>
  </si>
  <si>
    <t>WENDY ODALIS ESCOBAR ZEPEDA</t>
  </si>
  <si>
    <t>BO. LAS DELICIAS CTGUO. A ESCUELA 1a. CASA A MANO DERECHA SANTA MARIA OSTUMA LA PAZ **</t>
  </si>
  <si>
    <t>79394515</t>
  </si>
  <si>
    <t>YENI CLARIBEL MAYORA HERNANDEZ</t>
  </si>
  <si>
    <t xml:space="preserve">COL. JARD. DEL PACIFICO DESVIO LAS ISLETAS EN 3a. PLUMA CTGUO. DE A CASA ASESORA ELIZABETH PORTON VERDE SAN PEDRO </t>
  </si>
  <si>
    <t>77563084</t>
  </si>
  <si>
    <t>NICOLASA  LOPEZ  VDA DE GARCIA</t>
  </si>
  <si>
    <t>EL CERRO CRIO STA CRUZ EL TUNAL KM 40 SAGUAN VERDE DE CALLE LITORAL ROSARIO LA PAZ</t>
  </si>
  <si>
    <t>0</t>
  </si>
  <si>
    <t>77224070</t>
  </si>
  <si>
    <t>ROSA MIRIAN GUILLEN  DE CALDERON</t>
  </si>
  <si>
    <t>CTON AMATEPE CASA S/N 1/2 CDRA ANTES DE LA IGL AL FONDO DEL CALLEJON ROSARIO DE LA PAZ</t>
  </si>
  <si>
    <t>72907585</t>
  </si>
  <si>
    <t>MANUEL ANTONIO CRUZ MENDEZ</t>
  </si>
  <si>
    <t>COLONIA VILLA PALESTINA PJE N.5 CASA N.12 SAN LUIS TALPA LA PAZ</t>
  </si>
  <si>
    <t>79556758</t>
  </si>
  <si>
    <t>MARTA  GUARDADO RIVERA</t>
  </si>
  <si>
    <t>LOTF LA NARVAES CASA COLOR ANARANJADA ALFINAL DEL PJE EN EL MISMO PJE DE LA CONS. FRANCISCA ARACELI SAN LUIS TALP</t>
  </si>
  <si>
    <t>60063356</t>
  </si>
  <si>
    <t>ANA SILVIA CORTEZ ROJAS</t>
  </si>
  <si>
    <t>BO GUADALUPE CALLEJON CTGO DE ESC. SAN LUIS FINAL PJE HERRADURA LA PAZ</t>
  </si>
  <si>
    <t>62083033</t>
  </si>
  <si>
    <t>ANA DORIS GONZALEZ LOVOS</t>
  </si>
  <si>
    <t>LA HERRADURA COL LOS ANGELES FINAL FTE ACANCHA PREGUNTAR DONDE TRANCITO CASTILLO LA HERRADURA LA PAZ</t>
  </si>
  <si>
    <t>61235938</t>
  </si>
  <si>
    <t>JEYMI MARIELA GAVIDIA LOPEZ</t>
  </si>
  <si>
    <t>CASERIO LA BOMBA 2 CASAS DESPUES DE CONSJ DINORA NIETO CASA S/N EL ACHIOTAL SAN PEDRO MASAHUAT LA PAZ</t>
  </si>
  <si>
    <t>72790921</t>
  </si>
  <si>
    <t>75535303</t>
  </si>
  <si>
    <t>ANA ELETICIA LOPEZ  DE REYES</t>
  </si>
  <si>
    <t>CALLE A SAN ANTONIO POR CALLE A SAN PEDRO MARTIR 6 CUADRAS ABAJO SANTIAGO NCO SAN ANTONIO LA PAZ</t>
  </si>
  <si>
    <t>73859949</t>
  </si>
  <si>
    <t>LILIANA MARICELA SALINAS</t>
  </si>
  <si>
    <t>BO. SAN AGUSTIN AV. JOSE CELIS # 3 A 3 CASAS ARRIBA DEL CEMENTERIO 1er. PSJE. AL FONDO SANTIAGO NONUALCO LA PAZ **</t>
  </si>
  <si>
    <t>74448362</t>
  </si>
  <si>
    <t>BENJAMIN ERNESTO VASQUEZ PINEDA</t>
  </si>
  <si>
    <t>COL. LAS MERCEDES AV. MEXICO 1er. PSJE. EN LA TIENDA CASA S/N SANTIAGO NONUALCO LA PAZ **</t>
  </si>
  <si>
    <t>73118477</t>
  </si>
  <si>
    <t>NORMA ELIZABETH CORTEZ</t>
  </si>
  <si>
    <t>CALLE AL CHORRO CTGO A LA CAÑADA PORTON AZUL S/N FTE AL ROTULO SANTIAGO NCO LA PAZ SAN AGUSTIN</t>
  </si>
  <si>
    <t>23690356</t>
  </si>
  <si>
    <t>72809554</t>
  </si>
  <si>
    <t>SANTIAGO NONUALCO</t>
  </si>
  <si>
    <t>ANA RUTH MELENDEZ  DE MARROQUIN</t>
  </si>
  <si>
    <t>CTON EL ZACATAL CRIO LAS MERCEDES POL 16EL CONGO STA ANA</t>
  </si>
  <si>
    <t>77956208</t>
  </si>
  <si>
    <t>SNDRA GUADALUPE MENDOZA FUENTES</t>
  </si>
  <si>
    <t>SAN JOSE LAS FLORES A LA PAR DE LA ESCUELA 3 CASAS ANTES DE LA ESCUELA EL CONGO SANTA  ANA **</t>
  </si>
  <si>
    <t>78297578</t>
  </si>
  <si>
    <t>DAMICELA  BACARO SANDOVAL</t>
  </si>
  <si>
    <t>BO STA BARBARA 12 CLL OTE CASA 5 CARPINTERIA STA ANA</t>
  </si>
  <si>
    <t>24302284</t>
  </si>
  <si>
    <t>78327774</t>
  </si>
  <si>
    <t>MARITZA ESTELA MARTINEZ LARA</t>
  </si>
  <si>
    <t>CTON. SANTA ROSA 2a. ZONA EL CAFETALITO A LA PAR DE IGLESIA BAUTISTA CIUDAD ARCE LA LIBERTAD **</t>
  </si>
  <si>
    <t>70294645</t>
  </si>
  <si>
    <t>MORENA ELIZABETH GARCIA DE MENDEZ</t>
  </si>
  <si>
    <t>CTON LOMA ALTA LOTIF CALDERON POLIG D PJE A LOTE 5 FRENTE A TIENDA AV MASFERRER SANTA ANA CTON LOMA ALTA **</t>
  </si>
  <si>
    <t>75541217</t>
  </si>
  <si>
    <t>CLAUDIA LISSETTE HERNANDEZ HUEZO</t>
  </si>
  <si>
    <t>CTON PRIMAVERA COL LOS OLIVOS PJE FENADESAL Y CALLE AMERICA CASA 3 DESPUESDE CONS. FIDELINA RIVERA STA ANA</t>
  </si>
  <si>
    <t>74820850</t>
  </si>
  <si>
    <t>DORA ALICIA GARCIA</t>
  </si>
  <si>
    <t>COL LINDA VISTA AUTOPISTA DE ORO CASA 15ILOPANGO SAN SALVADOR</t>
  </si>
  <si>
    <t>SANDRA ROJA</t>
  </si>
  <si>
    <t>NOEMI DE DOLORES RAUDA  DE AVALOS</t>
  </si>
  <si>
    <t>RESIDENCIAL ALTA VISTA BLOCK "B" PSJE. 6SUR # 151 ILOPANGO SAN SALVADOR **</t>
  </si>
  <si>
    <t>74389277</t>
  </si>
  <si>
    <t>REBECA</t>
  </si>
  <si>
    <t>KARLA VANESSA GUTIERREZ CLAROS</t>
  </si>
  <si>
    <t>URB BOSQUES DEL RIO PJE 33 GP 48 CASA 26SOYAPANGO SAN SALVADOR</t>
  </si>
  <si>
    <t>73935166</t>
  </si>
  <si>
    <t>LLIAN</t>
  </si>
  <si>
    <t>MARIA ISABEL FERMAN ORELLANA</t>
  </si>
  <si>
    <t>RESD ALTAVISTA PJE 24 POL I CASA 94 TONACATEPEQUE SAN SALVADOR</t>
  </si>
  <si>
    <t>77032437</t>
  </si>
  <si>
    <t>MARIA DE LOS ANGELES ANZORA  DE HERNANDEZ</t>
  </si>
  <si>
    <t>BO. LAS MERCEDES CALLE LOS NARANJOS PSJE. 1 LOTE # 6 POR EL POLIDEPORTIVO TONACATEPEQUE SAN SALVADOR **</t>
  </si>
  <si>
    <t>70317648</t>
  </si>
  <si>
    <t>ROSA ELIZABETH MARTINEZ  DE ELIAS</t>
  </si>
  <si>
    <t>URB CIMA DE SAN BARTOLO 2 PJE 24 GPO 39 CASA 14 TONACATEPEQUE SAN SALVADOR</t>
  </si>
  <si>
    <t>25667944</t>
  </si>
  <si>
    <t>ZOILA</t>
  </si>
  <si>
    <t>ANA TERESA ARCE LIEVANO</t>
  </si>
  <si>
    <t>RESD ALTAVISTA POL 66 SENDA C CASA 57 SAN MARTIN SAN SALVADOR **</t>
  </si>
  <si>
    <t>22531908</t>
  </si>
  <si>
    <t>71309252</t>
  </si>
  <si>
    <t>MARIA PAZ COTO</t>
  </si>
  <si>
    <t>RESD ALTAVISTA POL 31 PJE 31B CASA 340 TONACATEPEQUE SAN SALVADOR</t>
  </si>
  <si>
    <t>73966765</t>
  </si>
  <si>
    <t>ROXANA YAMILETH ESCOBAR GUEVARA</t>
  </si>
  <si>
    <t>BO LAS MERCEDES FINAL CALLE LOS NARANJOSLOTE 5 TONACATEPEQUE SAN SALVADOR</t>
  </si>
  <si>
    <t>74516575</t>
  </si>
  <si>
    <t>SANDRA</t>
  </si>
  <si>
    <t>MARIA DEL TRANSITO HERNANDEZ</t>
  </si>
  <si>
    <t>COLONIA ALTOS DEL TEJAR POLG 15 PJE 8 N.26 TONACATEPEQUE SAN SALVADOR</t>
  </si>
  <si>
    <t>74120015</t>
  </si>
  <si>
    <t>DEYSI NOHEMI GUERRERO CRISOSTO</t>
  </si>
  <si>
    <t>LOTF BRISAS DE SAN BARTOLO PJE 5 CASA 6 ILOPANGO SAN SALVADOR</t>
  </si>
  <si>
    <t>70245486</t>
  </si>
  <si>
    <t>ROSA ELENA CORDOVA</t>
  </si>
  <si>
    <t>RESIDENCIAL ALTA VISTA POLG "G" PJE 8 CASA 72 ILOPANGO</t>
  </si>
  <si>
    <t>61675228</t>
  </si>
  <si>
    <t>EDY LETICIA ORTIZ LOPEZ</t>
  </si>
  <si>
    <t>URB CIMA DE SAN BARTOLO 2 PJE 12 GPO 12 CASA 18 TONACATEPEQUE SS</t>
  </si>
  <si>
    <t>79765897</t>
  </si>
  <si>
    <t>ROSMERI DEL CARMEN MENJIVAR</t>
  </si>
  <si>
    <t>RESD ALTAVISTA PJE 14 NTE POL J CASA 190ILOPANGO SAN SALVADOR</t>
  </si>
  <si>
    <t>71398377</t>
  </si>
  <si>
    <t>ROSA EMILIA ORELLANA MARQUEZ</t>
  </si>
  <si>
    <t>CRIO MATA DE PIÑA 1ER PJE ENFRENTE DEL CAÑAL SAN MARCOS LEMPA</t>
  </si>
  <si>
    <t>79364234</t>
  </si>
  <si>
    <t>INGRID XIOMARA PORTILLO ARIAS</t>
  </si>
  <si>
    <t>CRIO ALTO DEL JOBAL CTON JOBAL ARROZALESENTRADA CEIBA GACHA SAN AGUSTIN USULUTAN **</t>
  </si>
  <si>
    <t>71042732</t>
  </si>
  <si>
    <t>MARIA MARIBEL PORTILLO  DE RIVAS</t>
  </si>
  <si>
    <t>COL ANA BELLA 2 CALLE EL TRIUNFO CASA 98ZACATECOLUCA</t>
  </si>
  <si>
    <t>77934121</t>
  </si>
  <si>
    <t>73480712</t>
  </si>
  <si>
    <t>JOCSY MARIEL MARAVILLA HERNANDEZ</t>
  </si>
  <si>
    <t>COL MIRAMAR 2 POL 18 CASA 2 COLOR CASA AMARILLO CTGO A TALLER ZACATECOLUCALA PAZ</t>
  </si>
  <si>
    <t>76402902</t>
  </si>
  <si>
    <t>GERMAN FRANCISCO AREVALO CHAVEZ</t>
  </si>
  <si>
    <t>MERCADO 1 Y 2 EN LA 3A ENTRADA FTE A LA IGLESIA CATEDRAL A LA PAR DE YANESELIZABETH VILLEGAS ZACATECOLUCA LA PAZ</t>
  </si>
  <si>
    <t>74427516</t>
  </si>
  <si>
    <t>OSCAR ARMANDO CHAVEZ ORTIZ</t>
  </si>
  <si>
    <t>JUANA  ALVARADO</t>
  </si>
  <si>
    <t>BO. EL CENTRO AV. JUAN MANUEL RODRIGUEZ CALLE AL MERCADO POR EL KAIRO PORTON NEGRO ZACATECOLUCA LA PAZ</t>
  </si>
  <si>
    <t>73700328</t>
  </si>
  <si>
    <t>ROQUE DAVID BERNABE MIRANDA</t>
  </si>
  <si>
    <t>MERCADO MUNICIPAL MILAGRO DE LA PAZ ZACATECOLUCA LA PAZ **</t>
  </si>
  <si>
    <t>71329262</t>
  </si>
  <si>
    <t>SONIA MARITZA RUIZ</t>
  </si>
  <si>
    <t>NAVIDAD DE JESUS RODRIGUEZ HERNANDEZ</t>
  </si>
  <si>
    <t>JUANA PATRICIA VILLALOBOS</t>
  </si>
  <si>
    <t>8 CLL PTE BO. ANALCO ZACATECOLUCA LA PAZ**</t>
  </si>
  <si>
    <t>73114279</t>
  </si>
  <si>
    <t xml:space="preserve">FLOR VANESA GONZALEZ </t>
  </si>
  <si>
    <t>PLINIO ANTONIO CASTRO RODRIGUEZ</t>
  </si>
  <si>
    <t>COL EL REFUGIO AV LAS FLORES POL E CASA # 57 FTE A CONSEJERA JESSICA CASTRO EL REFUGIO AHUACHAPAN</t>
  </si>
  <si>
    <t>76343966</t>
  </si>
  <si>
    <t>SILVIA YANIRA GOMEZ MEJIA</t>
  </si>
  <si>
    <t>COL. SAN MAURICIO CSA. # 20 POR LA ESCUELA SANTA ANA</t>
  </si>
  <si>
    <t>79344795</t>
  </si>
  <si>
    <t>MARIA ELENA RIVAS  DE LOPEZ</t>
  </si>
  <si>
    <t>RESIDENCIAL LIMAR # 2 BLOCK "D" CSA. # 19 CHALCHUAPA SANTA ANA **</t>
  </si>
  <si>
    <t>74141649</t>
  </si>
  <si>
    <t>ROXANA ELIZABET BARRERA RODRIGUEZ</t>
  </si>
  <si>
    <t>CTON. GALEANO COL. NUEVA SAN JUAN POLG. "G" CASA # 2 CHALCHUAPA SANTA ANA **</t>
  </si>
  <si>
    <t>75373738</t>
  </si>
  <si>
    <t>LILIAN DOLORES VASQUEZ</t>
  </si>
  <si>
    <t>COLONIA EL MOLINO POLIGONO Z-1 CASA 40 SAN MIGUEL</t>
  </si>
  <si>
    <t>26600392</t>
  </si>
  <si>
    <t>72415853</t>
  </si>
  <si>
    <t>SAN MIGUEL</t>
  </si>
  <si>
    <t>MARIELA GUADALUPE FERRUFINO ROMERO</t>
  </si>
  <si>
    <t>COL 4 DE OCT. CL ANTIGUA AL SITIO N.38 FRENTE A CONSEJERA MARTHA BERCIA SAN MIGUEL **</t>
  </si>
  <si>
    <t>63075171</t>
  </si>
  <si>
    <t>REYNA ISABEL CRUZ DE GUEVARA</t>
  </si>
  <si>
    <t>MCDO N.1 PUESTO 67 VTA DE JARCIA CLL CHAPARRASTIQUE BO. EL CENTRO SAN MIGUEL</t>
  </si>
  <si>
    <t>77860503</t>
  </si>
  <si>
    <t>74849917</t>
  </si>
  <si>
    <t>IRMA LISSETTE CRUZ ROMERO</t>
  </si>
  <si>
    <t>COL MONSERRAT PROLONGACION 4 AV NORTE N.32 2 CDRAS ANTES DE LLEGAR A ESC. DEL ZAMORAN SAN MIGUEL</t>
  </si>
  <si>
    <t>26693669</t>
  </si>
  <si>
    <t>72603470</t>
  </si>
  <si>
    <t>LUCIA ISABEL DIAZ</t>
  </si>
  <si>
    <t>COL. 15 DE SEPTIEMBRE 16 CALLE OTE. # 22CTGUO. A IGLESIA GETSEMANI SAN MIGUEL</t>
  </si>
  <si>
    <t>79027765</t>
  </si>
  <si>
    <t>GLORIA MILADIS VASQUEZ REYES</t>
  </si>
  <si>
    <t>AV CENTRAL 340 BK D-12 URB SANTA EMILIA SAN MIGUEL</t>
  </si>
  <si>
    <t>26615870</t>
  </si>
  <si>
    <t>ELIDA  FUENTES</t>
  </si>
  <si>
    <t>RESIDENCIAL LAS AGUILAS POLG "A" CASA 11SAN MIGUEL</t>
  </si>
  <si>
    <t>MARIA DAISY CUCHILLA GIRON</t>
  </si>
  <si>
    <t>COL. LA PRESITA AV. RIO GRANDE CASA # 33SAN MIGUEL</t>
  </si>
  <si>
    <t>72051341</t>
  </si>
  <si>
    <t>CORINA DE JESUS TORRES GONZALEZ</t>
  </si>
  <si>
    <t>COL SN CARLOS C GUATEMALA PJE RUBIO N.13SN MIGUEL</t>
  </si>
  <si>
    <t>76097066</t>
  </si>
  <si>
    <t>75334801</t>
  </si>
  <si>
    <t>12</t>
  </si>
  <si>
    <t>TEJUTLA</t>
  </si>
  <si>
    <t>ATIQUIZAYA</t>
  </si>
  <si>
    <t>AHUCHAPAN</t>
  </si>
  <si>
    <t>CIUDAD REAL</t>
  </si>
  <si>
    <t>PARACENTRAL</t>
  </si>
  <si>
    <t>OCCIDENTE</t>
  </si>
  <si>
    <t>ORIENTE</t>
  </si>
  <si>
    <t>EL PUERTO</t>
  </si>
  <si>
    <t>SALA DE BELLEZA</t>
  </si>
  <si>
    <t>ZARAGOZA</t>
  </si>
  <si>
    <t>LA UNION</t>
  </si>
  <si>
    <t>SAN VICENTE</t>
  </si>
  <si>
    <t>TRANSITO</t>
  </si>
  <si>
    <t>SANTO DOMINGO</t>
  </si>
  <si>
    <t>VERAPAZ</t>
  </si>
  <si>
    <t>SAN ROBERTO</t>
  </si>
  <si>
    <t>SAN SEBASTIAN</t>
  </si>
  <si>
    <t>CASA GERENTE</t>
  </si>
  <si>
    <t>VENTA ROPA</t>
  </si>
  <si>
    <t>ARMENIA</t>
  </si>
  <si>
    <t>ANGELICA</t>
  </si>
  <si>
    <t>SAN ALEJO</t>
  </si>
  <si>
    <t>SANTA ROSA</t>
  </si>
  <si>
    <t>JUAYUA</t>
  </si>
  <si>
    <t>ILOBASCO</t>
  </si>
  <si>
    <t>SENSUNTE</t>
  </si>
  <si>
    <t>AMAYO</t>
  </si>
  <si>
    <t>PEDREGAL</t>
  </si>
  <si>
    <t>CARA SUCIA</t>
  </si>
  <si>
    <t>FECHA:</t>
  </si>
  <si>
    <t>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</si>
</sst>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[$$-440A]* #,##0.00_);_([$$-440A]* \(#,##0.00\);_([$$-440A]* &quot;-&quot;??_);_(@_)"/>
    <numFmt numFmtId="165" formatCode="&quot;$&quot;#,##0.00"/>
    <numFmt numFmtId="166" formatCode="[$-F800]dddd\,\ mmmm\ dd\,\ yyyy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0"/>
      <name val="Arial Narrow"/>
      <family val="2"/>
    </font>
    <font>
      <b/>
      <sz val="12"/>
      <color theme="0"/>
      <name val="Arial"/>
      <family val="2"/>
    </font>
    <font>
      <sz val="8"/>
      <name val="Arial Narrow"/>
      <family val="2"/>
    </font>
    <font>
      <b/>
      <sz val="9"/>
      <name val="Arial"/>
      <family val="2"/>
    </font>
    <font>
      <b/>
      <sz val="8"/>
      <name val="Arial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9"/>
      <name val="Arial Narrow"/>
      <family val="2"/>
    </font>
    <font>
      <b/>
      <sz val="9"/>
      <color theme="1"/>
      <name val="Arial Narrow"/>
      <family val="2"/>
    </font>
    <font>
      <sz val="8"/>
      <name val="Arial"/>
      <family val="2"/>
    </font>
    <font>
      <b/>
      <i/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</borders>
  <cellStyleXfs count="3">
    <xf numFmtId="0" fontId="0" fillId="0" borderId="0"/>
    <xf numFmtId="0" fontId="1" fillId="0" borderId="0"/>
    <xf numFmtId="44" fontId="15" fillId="0" borderId="0" applyFont="0" applyFill="0" applyBorder="0" applyAlignment="0" applyProtection="0"/>
  </cellStyleXfs>
  <cellXfs count="126">
    <xf numFmtId="0" fontId="0" fillId="0" borderId="0" xfId="0"/>
    <xf numFmtId="0" fontId="3" fillId="0" borderId="0" xfId="1" applyFont="1" applyProtection="1"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9" fillId="0" borderId="5" xfId="1" applyFont="1" applyBorder="1" applyAlignment="1" applyProtection="1">
      <alignment horizontal="center" vertical="center"/>
    </xf>
    <xf numFmtId="0" fontId="10" fillId="0" borderId="5" xfId="1" applyFont="1" applyBorder="1" applyAlignment="1" applyProtection="1">
      <alignment horizontal="center" vertical="center"/>
    </xf>
    <xf numFmtId="44" fontId="9" fillId="0" borderId="5" xfId="1" applyNumberFormat="1" applyFont="1" applyBorder="1" applyAlignment="1" applyProtection="1">
      <alignment horizontal="center" vertical="center"/>
    </xf>
    <xf numFmtId="164" fontId="9" fillId="0" borderId="5" xfId="1" applyNumberFormat="1" applyFont="1" applyBorder="1" applyAlignment="1" applyProtection="1">
      <alignment horizontal="center" vertical="center"/>
    </xf>
    <xf numFmtId="0" fontId="12" fillId="0" borderId="15" xfId="1" applyFont="1" applyBorder="1" applyAlignment="1" applyProtection="1">
      <alignment horizontal="center" vertical="center"/>
    </xf>
    <xf numFmtId="0" fontId="7" fillId="0" borderId="0" xfId="1" applyFont="1" applyBorder="1" applyAlignment="1" applyProtection="1">
      <alignment horizontal="center" vertical="center"/>
      <protection locked="0"/>
    </xf>
    <xf numFmtId="0" fontId="12" fillId="0" borderId="0" xfId="1" applyFont="1" applyBorder="1" applyAlignment="1" applyProtection="1">
      <alignment horizontal="center" vertical="center"/>
      <protection locked="0"/>
    </xf>
    <xf numFmtId="0" fontId="11" fillId="0" borderId="17" xfId="1" applyFont="1" applyBorder="1" applyAlignment="1" applyProtection="1">
      <alignment horizontal="center" vertical="center"/>
      <protection locked="0"/>
    </xf>
    <xf numFmtId="0" fontId="3" fillId="0" borderId="0" xfId="1" applyFont="1" applyProtection="1"/>
    <xf numFmtId="22" fontId="0" fillId="0" borderId="0" xfId="0" applyNumberFormat="1"/>
    <xf numFmtId="0" fontId="0" fillId="0" borderId="0" xfId="0" applyNumberFormat="1"/>
    <xf numFmtId="0" fontId="9" fillId="0" borderId="13" xfId="1" applyFont="1" applyBorder="1" applyAlignment="1" applyProtection="1">
      <alignment horizontal="center" vertical="center" wrapText="1"/>
    </xf>
    <xf numFmtId="0" fontId="9" fillId="0" borderId="19" xfId="1" applyFont="1" applyBorder="1" applyAlignment="1" applyProtection="1">
      <alignment horizontal="center" vertical="center" wrapText="1"/>
    </xf>
    <xf numFmtId="0" fontId="9" fillId="0" borderId="13" xfId="1" applyFont="1" applyBorder="1" applyAlignment="1" applyProtection="1">
      <alignment horizontal="center" vertical="center"/>
    </xf>
    <xf numFmtId="166" fontId="0" fillId="0" borderId="0" xfId="0" applyNumberFormat="1"/>
    <xf numFmtId="44" fontId="2" fillId="0" borderId="0" xfId="2" applyFont="1" applyAlignment="1" applyProtection="1">
      <alignment horizontal="center" vertical="center"/>
      <protection locked="0"/>
    </xf>
    <xf numFmtId="0" fontId="0" fillId="0" borderId="0" xfId="0" applyFill="1"/>
    <xf numFmtId="0" fontId="9" fillId="2" borderId="5" xfId="1" applyFont="1" applyFill="1" applyBorder="1" applyAlignment="1" applyProtection="1">
      <alignment horizontal="center" vertical="center"/>
    </xf>
    <xf numFmtId="0" fontId="10" fillId="2" borderId="5" xfId="1" applyFont="1" applyFill="1" applyBorder="1" applyAlignment="1" applyProtection="1">
      <alignment horizontal="center" vertical="center"/>
    </xf>
    <xf numFmtId="0" fontId="9" fillId="2" borderId="13" xfId="1" applyFont="1" applyFill="1" applyBorder="1" applyAlignment="1" applyProtection="1">
      <alignment horizontal="center" vertical="center"/>
    </xf>
    <xf numFmtId="44" fontId="9" fillId="2" borderId="5" xfId="1" applyNumberFormat="1" applyFont="1" applyFill="1" applyBorder="1" applyAlignment="1" applyProtection="1">
      <alignment horizontal="center" vertical="center"/>
    </xf>
    <xf numFmtId="164" fontId="9" fillId="2" borderId="5" xfId="1" applyNumberFormat="1" applyFont="1" applyFill="1" applyBorder="1" applyAlignment="1" applyProtection="1">
      <alignment horizontal="center" vertical="center"/>
    </xf>
    <xf numFmtId="0" fontId="9" fillId="2" borderId="13" xfId="1" applyFont="1" applyFill="1" applyBorder="1" applyAlignment="1" applyProtection="1">
      <alignment horizontal="center" vertical="center" wrapText="1"/>
    </xf>
    <xf numFmtId="0" fontId="7" fillId="0" borderId="0" xfId="1" applyFont="1" applyAlignment="1" applyProtection="1">
      <alignment horizontal="center" vertical="center"/>
      <protection locked="0"/>
    </xf>
    <xf numFmtId="0" fontId="9" fillId="0" borderId="7" xfId="1" applyNumberFormat="1" applyFont="1" applyBorder="1" applyAlignment="1" applyProtection="1">
      <alignment horizontal="center" vertical="center"/>
    </xf>
    <xf numFmtId="0" fontId="9" fillId="2" borderId="7" xfId="1" applyNumberFormat="1" applyFont="1" applyFill="1" applyBorder="1" applyAlignment="1" applyProtection="1">
      <alignment horizontal="center" vertical="center"/>
    </xf>
    <xf numFmtId="0" fontId="11" fillId="0" borderId="0" xfId="1" applyFont="1" applyBorder="1" applyAlignment="1" applyProtection="1">
      <alignment horizontal="center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7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44" fontId="7" fillId="0" borderId="0" xfId="2" applyFont="1" applyBorder="1" applyAlignment="1" applyProtection="1">
      <alignment horizontal="center" vertical="center"/>
      <protection locked="0"/>
    </xf>
    <xf numFmtId="44" fontId="7" fillId="0" borderId="0" xfId="2" applyFont="1" applyAlignment="1" applyProtection="1">
      <alignment horizontal="center" vertical="center"/>
      <protection locked="0"/>
    </xf>
    <xf numFmtId="44" fontId="7" fillId="0" borderId="0" xfId="1" applyNumberFormat="1" applyFont="1" applyAlignment="1" applyProtection="1">
      <alignment horizontal="center" vertical="center"/>
      <protection locked="0"/>
    </xf>
    <xf numFmtId="44" fontId="9" fillId="0" borderId="5" xfId="2" applyFont="1" applyBorder="1" applyAlignment="1" applyProtection="1">
      <alignment horizontal="center" vertical="center"/>
    </xf>
    <xf numFmtId="44" fontId="11" fillId="0" borderId="5" xfId="1" applyNumberFormat="1" applyFont="1" applyBorder="1" applyAlignment="1" applyProtection="1">
      <alignment horizontal="center" vertical="center"/>
    </xf>
    <xf numFmtId="0" fontId="9" fillId="0" borderId="11" xfId="1" applyNumberFormat="1" applyFont="1" applyBorder="1" applyAlignment="1" applyProtection="1">
      <alignment horizontal="center" vertical="center"/>
    </xf>
    <xf numFmtId="0" fontId="6" fillId="0" borderId="13" xfId="1" applyFont="1" applyBorder="1" applyAlignment="1" applyProtection="1">
      <alignment horizontal="center" vertical="center"/>
    </xf>
    <xf numFmtId="44" fontId="9" fillId="2" borderId="5" xfId="2" applyFont="1" applyFill="1" applyBorder="1" applyAlignment="1" applyProtection="1">
      <alignment horizontal="center" vertical="center"/>
    </xf>
    <xf numFmtId="44" fontId="11" fillId="2" borderId="5" xfId="1" applyNumberFormat="1" applyFont="1" applyFill="1" applyBorder="1" applyAlignment="1" applyProtection="1">
      <alignment horizontal="center" vertical="center"/>
    </xf>
    <xf numFmtId="0" fontId="9" fillId="2" borderId="11" xfId="1" applyNumberFormat="1" applyFont="1" applyFill="1" applyBorder="1" applyAlignment="1" applyProtection="1">
      <alignment horizontal="center" vertical="center"/>
    </xf>
    <xf numFmtId="0" fontId="6" fillId="2" borderId="13" xfId="1" applyFont="1" applyFill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 vertical="center"/>
      <protection locked="0"/>
    </xf>
    <xf numFmtId="0" fontId="11" fillId="0" borderId="14" xfId="1" applyFont="1" applyBorder="1" applyAlignment="1" applyProtection="1">
      <alignment horizontal="center" vertical="center"/>
    </xf>
    <xf numFmtId="0" fontId="11" fillId="0" borderId="15" xfId="1" applyFont="1" applyBorder="1" applyAlignment="1" applyProtection="1">
      <alignment horizontal="center" vertical="center"/>
    </xf>
    <xf numFmtId="164" fontId="11" fillId="0" borderId="15" xfId="1" applyNumberFormat="1" applyFont="1" applyBorder="1" applyAlignment="1" applyProtection="1">
      <alignment horizontal="center" vertical="center"/>
    </xf>
    <xf numFmtId="44" fontId="11" fillId="0" borderId="15" xfId="2" applyFont="1" applyBorder="1" applyAlignment="1" applyProtection="1">
      <alignment horizontal="center" vertical="center"/>
    </xf>
    <xf numFmtId="44" fontId="11" fillId="0" borderId="15" xfId="1" applyNumberFormat="1" applyFont="1" applyBorder="1" applyAlignment="1" applyProtection="1">
      <alignment horizontal="center" vertical="center"/>
    </xf>
    <xf numFmtId="0" fontId="11" fillId="0" borderId="16" xfId="1" applyFont="1" applyBorder="1" applyAlignment="1" applyProtection="1">
      <alignment horizontal="center" vertical="center"/>
    </xf>
    <xf numFmtId="0" fontId="13" fillId="0" borderId="0" xfId="1" applyFont="1" applyAlignment="1" applyProtection="1">
      <alignment horizontal="center" vertical="center"/>
      <protection locked="0"/>
    </xf>
    <xf numFmtId="44" fontId="11" fillId="0" borderId="0" xfId="2" applyFont="1" applyBorder="1" applyAlignment="1" applyProtection="1">
      <alignment horizontal="center" vertical="center"/>
      <protection locked="0"/>
    </xf>
    <xf numFmtId="44" fontId="11" fillId="0" borderId="0" xfId="1" applyNumberFormat="1" applyFont="1" applyBorder="1" applyAlignment="1" applyProtection="1">
      <alignment horizontal="center" vertical="center"/>
      <protection locked="0"/>
    </xf>
    <xf numFmtId="165" fontId="13" fillId="0" borderId="0" xfId="1" applyNumberFormat="1" applyFont="1" applyAlignment="1" applyProtection="1">
      <alignment horizontal="center" vertical="center"/>
      <protection locked="0"/>
    </xf>
    <xf numFmtId="44" fontId="3" fillId="0" borderId="0" xfId="2" applyFont="1" applyAlignment="1" applyProtection="1">
      <alignment horizontal="center" vertical="center"/>
      <protection locked="0"/>
    </xf>
    <xf numFmtId="44" fontId="3" fillId="0" borderId="0" xfId="1" applyNumberFormat="1" applyFont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44" fontId="3" fillId="0" borderId="17" xfId="2" applyFont="1" applyBorder="1" applyAlignment="1" applyProtection="1">
      <alignment horizontal="center" vertical="center"/>
      <protection locked="0"/>
    </xf>
    <xf numFmtId="0" fontId="13" fillId="0" borderId="17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1" fillId="0" borderId="17" xfId="1" applyFont="1" applyBorder="1" applyAlignment="1" applyProtection="1">
      <alignment horizontal="center" vertical="center"/>
      <protection locked="0"/>
    </xf>
    <xf numFmtId="0" fontId="3" fillId="0" borderId="17" xfId="1" applyFont="1" applyBorder="1" applyAlignment="1" applyProtection="1">
      <alignment horizontal="center" vertical="center"/>
      <protection locked="0"/>
    </xf>
    <xf numFmtId="22" fontId="0" fillId="0" borderId="0" xfId="0" applyNumberFormat="1" applyFill="1"/>
    <xf numFmtId="0" fontId="0" fillId="0" borderId="0" xfId="0" applyNumberFormat="1" applyFill="1"/>
    <xf numFmtId="166" fontId="0" fillId="0" borderId="0" xfId="0" applyNumberFormat="1" applyFill="1"/>
    <xf numFmtId="0" fontId="16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6" fillId="0" borderId="0" xfId="0" applyNumberFormat="1" applyFont="1"/>
    <xf numFmtId="0" fontId="17" fillId="0" borderId="0" xfId="0" applyFont="1" applyFill="1" applyAlignment="1">
      <alignment horizontal="center"/>
    </xf>
    <xf numFmtId="0" fontId="17" fillId="0" borderId="0" xfId="0" applyFont="1" applyFill="1"/>
    <xf numFmtId="44" fontId="17" fillId="0" borderId="0" xfId="2" applyFont="1" applyFill="1"/>
    <xf numFmtId="0" fontId="17" fillId="0" borderId="20" xfId="0" applyFont="1" applyFill="1" applyBorder="1" applyAlignment="1">
      <alignment horizontal="center"/>
    </xf>
    <xf numFmtId="0" fontId="17" fillId="0" borderId="20" xfId="0" applyFont="1" applyFill="1" applyBorder="1"/>
    <xf numFmtId="44" fontId="17" fillId="0" borderId="0" xfId="0" applyNumberFormat="1" applyFont="1" applyFill="1"/>
    <xf numFmtId="0" fontId="17" fillId="0" borderId="0" xfId="0" applyFont="1" applyFill="1" applyAlignment="1">
      <alignment horizontal="center" wrapText="1"/>
    </xf>
    <xf numFmtId="0" fontId="17" fillId="0" borderId="20" xfId="0" applyFont="1" applyFill="1" applyBorder="1" applyAlignment="1">
      <alignment horizontal="center" wrapText="1"/>
    </xf>
    <xf numFmtId="0" fontId="17" fillId="0" borderId="22" xfId="0" applyFont="1" applyFill="1" applyBorder="1" applyAlignment="1">
      <alignment horizontal="center"/>
    </xf>
    <xf numFmtId="0" fontId="18" fillId="0" borderId="20" xfId="0" applyFont="1" applyFill="1" applyBorder="1"/>
    <xf numFmtId="0" fontId="17" fillId="0" borderId="23" xfId="0" applyFont="1" applyFill="1" applyBorder="1" applyAlignment="1">
      <alignment horizontal="center" wrapText="1"/>
    </xf>
    <xf numFmtId="0" fontId="17" fillId="0" borderId="24" xfId="0" applyFont="1" applyFill="1" applyBorder="1" applyAlignment="1">
      <alignment horizontal="center"/>
    </xf>
    <xf numFmtId="0" fontId="17" fillId="0" borderId="25" xfId="0" applyFont="1" applyFill="1" applyBorder="1"/>
    <xf numFmtId="0" fontId="17" fillId="0" borderId="26" xfId="0" applyFont="1" applyFill="1" applyBorder="1" applyAlignment="1">
      <alignment horizontal="center" wrapText="1"/>
    </xf>
    <xf numFmtId="0" fontId="18" fillId="0" borderId="20" xfId="0" applyFont="1" applyFill="1" applyBorder="1" applyAlignment="1">
      <alignment horizontal="center"/>
    </xf>
    <xf numFmtId="0" fontId="18" fillId="0" borderId="22" xfId="0" applyFont="1" applyFill="1" applyBorder="1" applyAlignment="1">
      <alignment horizontal="center"/>
    </xf>
    <xf numFmtId="0" fontId="18" fillId="0" borderId="23" xfId="0" applyFont="1" applyFill="1" applyBorder="1" applyAlignment="1">
      <alignment horizontal="center"/>
    </xf>
    <xf numFmtId="14" fontId="17" fillId="0" borderId="21" xfId="0" applyNumberFormat="1" applyFont="1" applyFill="1" applyBorder="1" applyAlignment="1">
      <alignment horizontal="center"/>
    </xf>
    <xf numFmtId="165" fontId="3" fillId="0" borderId="0" xfId="1" applyNumberFormat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1" fillId="0" borderId="17" xfId="1" applyFont="1" applyBorder="1" applyAlignment="1" applyProtection="1">
      <alignment horizontal="center" vertical="center"/>
      <protection locked="0"/>
    </xf>
    <xf numFmtId="0" fontId="3" fillId="0" borderId="17" xfId="1" applyFont="1" applyBorder="1" applyAlignment="1" applyProtection="1">
      <alignment horizontal="center" vertical="center"/>
      <protection locked="0"/>
    </xf>
    <xf numFmtId="0" fontId="8" fillId="2" borderId="6" xfId="1" applyFont="1" applyFill="1" applyBorder="1" applyAlignment="1" applyProtection="1">
      <alignment horizontal="center" vertical="center" wrapText="1"/>
    </xf>
    <xf numFmtId="0" fontId="8" fillId="2" borderId="10" xfId="1" applyFont="1" applyFill="1" applyBorder="1" applyAlignment="1" applyProtection="1">
      <alignment horizontal="center" vertical="center" wrapText="1"/>
    </xf>
    <xf numFmtId="0" fontId="8" fillId="2" borderId="8" xfId="1" applyFont="1" applyFill="1" applyBorder="1" applyAlignment="1" applyProtection="1">
      <alignment horizontal="center" vertical="center" wrapText="1"/>
    </xf>
    <xf numFmtId="0" fontId="8" fillId="2" borderId="11" xfId="1" applyFont="1" applyFill="1" applyBorder="1" applyAlignment="1" applyProtection="1">
      <alignment horizontal="center" vertical="center" wrapText="1"/>
    </xf>
    <xf numFmtId="0" fontId="8" fillId="2" borderId="9" xfId="1" applyFont="1" applyFill="1" applyBorder="1" applyAlignment="1" applyProtection="1">
      <alignment horizontal="center" vertical="center"/>
    </xf>
    <xf numFmtId="0" fontId="8" fillId="2" borderId="12" xfId="1" applyFont="1" applyFill="1" applyBorder="1" applyAlignment="1" applyProtection="1">
      <alignment horizontal="center" vertical="center"/>
    </xf>
    <xf numFmtId="0" fontId="7" fillId="0" borderId="2" xfId="1" applyFont="1" applyBorder="1" applyAlignment="1" applyProtection="1">
      <alignment horizontal="center" vertical="center"/>
    </xf>
    <xf numFmtId="0" fontId="7" fillId="0" borderId="14" xfId="1" applyFont="1" applyBorder="1" applyAlignment="1" applyProtection="1">
      <alignment horizontal="center" vertical="center"/>
    </xf>
    <xf numFmtId="0" fontId="8" fillId="2" borderId="5" xfId="1" applyFont="1" applyFill="1" applyBorder="1" applyAlignment="1" applyProtection="1">
      <alignment horizontal="center" vertical="center" wrapText="1"/>
    </xf>
    <xf numFmtId="44" fontId="8" fillId="2" borderId="6" xfId="2" applyFont="1" applyFill="1" applyBorder="1" applyAlignment="1" applyProtection="1">
      <alignment horizontal="center" vertical="center" wrapText="1"/>
      <protection locked="0"/>
    </xf>
    <xf numFmtId="44" fontId="8" fillId="2" borderId="10" xfId="2" applyFont="1" applyFill="1" applyBorder="1" applyAlignment="1" applyProtection="1">
      <alignment horizontal="center" vertical="center" wrapText="1"/>
      <protection locked="0"/>
    </xf>
    <xf numFmtId="44" fontId="8" fillId="2" borderId="5" xfId="1" applyNumberFormat="1" applyFont="1" applyFill="1" applyBorder="1" applyAlignment="1" applyProtection="1">
      <alignment horizontal="center" vertical="center" wrapText="1"/>
    </xf>
    <xf numFmtId="0" fontId="8" fillId="2" borderId="5" xfId="1" applyFont="1" applyFill="1" applyBorder="1" applyAlignment="1" applyProtection="1">
      <alignment horizontal="center" vertical="center"/>
    </xf>
    <xf numFmtId="0" fontId="8" fillId="2" borderId="6" xfId="1" applyFont="1" applyFill="1" applyBorder="1" applyAlignment="1" applyProtection="1">
      <alignment horizontal="center" vertical="center"/>
    </xf>
    <xf numFmtId="0" fontId="8" fillId="2" borderId="10" xfId="1" applyFont="1" applyFill="1" applyBorder="1" applyAlignment="1" applyProtection="1">
      <alignment horizontal="center" vertical="center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4" xfId="1" applyFont="1" applyBorder="1" applyAlignment="1" applyProtection="1">
      <alignment horizontal="center" vertical="center"/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8" fillId="2" borderId="6" xfId="1" applyFont="1" applyFill="1" applyBorder="1" applyAlignment="1" applyProtection="1">
      <alignment horizontal="center" vertical="center" wrapText="1"/>
      <protection locked="0"/>
    </xf>
    <xf numFmtId="0" fontId="8" fillId="2" borderId="10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</xf>
    <xf numFmtId="0" fontId="8" fillId="2" borderId="18" xfId="1" applyFont="1" applyFill="1" applyBorder="1" applyAlignment="1" applyProtection="1">
      <alignment horizontal="center" vertical="center" wrapText="1"/>
    </xf>
    <xf numFmtId="0" fontId="2" fillId="0" borderId="0" xfId="1" applyFont="1" applyAlignment="1" applyProtection="1">
      <alignment horizontal="center" vertical="center"/>
    </xf>
    <xf numFmtId="14" fontId="4" fillId="0" borderId="1" xfId="1" applyNumberFormat="1" applyFont="1" applyBorder="1" applyAlignment="1" applyProtection="1">
      <alignment horizontal="center" vertical="center"/>
      <protection locked="0"/>
    </xf>
    <xf numFmtId="14" fontId="4" fillId="0" borderId="2" xfId="1" applyNumberFormat="1" applyFont="1" applyBorder="1" applyAlignment="1" applyProtection="1">
      <alignment horizontal="center" vertical="center"/>
      <protection locked="0"/>
    </xf>
    <xf numFmtId="14" fontId="4" fillId="0" borderId="3" xfId="1" applyNumberFormat="1" applyFont="1" applyBorder="1" applyAlignment="1" applyProtection="1">
      <alignment horizontal="center" vertical="center"/>
      <protection locked="0"/>
    </xf>
    <xf numFmtId="0" fontId="14" fillId="0" borderId="1" xfId="1" applyNumberFormat="1" applyFont="1" applyBorder="1" applyAlignment="1" applyProtection="1">
      <alignment horizontal="center" vertical="center"/>
    </xf>
    <xf numFmtId="0" fontId="14" fillId="0" borderId="3" xfId="1" applyNumberFormat="1" applyFont="1" applyBorder="1" applyAlignment="1" applyProtection="1">
      <alignment horizontal="center" vertical="center"/>
    </xf>
    <xf numFmtId="49" fontId="4" fillId="0" borderId="1" xfId="1" applyNumberFormat="1" applyFont="1" applyBorder="1" applyAlignment="1" applyProtection="1">
      <alignment horizontal="center" vertical="center"/>
      <protection locked="0"/>
    </xf>
    <xf numFmtId="49" fontId="4" fillId="0" borderId="3" xfId="1" applyNumberFormat="1" applyFont="1" applyBorder="1" applyAlignment="1" applyProtection="1">
      <alignment horizontal="center" vertical="center"/>
      <protection locked="0"/>
    </xf>
  </cellXfs>
  <cellStyles count="3">
    <cellStyle name="Currency" xfId="2" builtinId="4"/>
    <cellStyle name="Normal" xfId="0" builtinId="0"/>
    <cellStyle name="Normal 2" xfId="1"/>
  </cellStyles>
  <dxfs count="37">
    <dxf>
      <numFmt numFmtId="27" formatCode="dd/mm/yyyy\ hh:mm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66" formatCode="[$-F800]dddd\,\ mmmm\ dd\,\ yyyy"/>
      <fill>
        <patternFill patternType="none">
          <fgColor indexed="64"/>
          <bgColor indexed="65"/>
        </patternFill>
      </fill>
    </dxf>
    <dxf>
      <numFmt numFmtId="166" formatCode="[$-F800]dddd\,\ mmmm\ dd\,\ yyyy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2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2" tint="-0.249977111117893"/>
        </left>
        <right/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450273</xdr:colOff>
      <xdr:row>0</xdr:row>
      <xdr:rowOff>17319</xdr:rowOff>
    </xdr:from>
    <xdr:to>
      <xdr:col>17</xdr:col>
      <xdr:colOff>588818</xdr:colOff>
      <xdr:row>1</xdr:row>
      <xdr:rowOff>8659</xdr:rowOff>
    </xdr:to>
    <xdr:sp macro="[0]!SQLQuery" textlink="">
      <xdr:nvSpPr>
        <xdr:cNvPr id="2" name="Rounded Rectangle 1"/>
        <xdr:cNvSpPr/>
      </xdr:nvSpPr>
      <xdr:spPr>
        <a:xfrm>
          <a:off x="12594648" y="17319"/>
          <a:ext cx="900545" cy="22946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200"/>
            <a:t>Actualizar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etitiv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query"/>
      <sheetName val="REPORTE"/>
    </sheetNames>
    <sheetDataSet>
      <sheetData sheetId="0"/>
      <sheetData sheetId="1"/>
      <sheetData sheetId="2">
        <row r="7">
          <cell r="L7">
            <v>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ss2p pedidos" connectionId="1" autoFormatId="16" applyNumberFormats="0" applyBorderFormats="0" applyFontFormats="0" applyPatternFormats="0" applyAlignmentFormats="0" applyWidthHeightFormats="0">
  <queryTableRefresh nextId="32" unboundColumnsRight="2">
    <queryTableFields count="28">
      <queryTableField id="1" name="id_pedido" tableColumnId="1"/>
      <queryTableField id="2" name="cod_consejera" tableColumnId="2"/>
      <queryTableField id="3" name="zona" tableColumnId="3"/>
      <queryTableField id="4" name="sector" tableColumnId="4"/>
      <queryTableField id="5" name="camp" tableColumnId="5"/>
      <queryTableField id="6" name="anio" tableColumnId="6"/>
      <queryTableField id="7" name="nombres" tableColumnId="7"/>
      <queryTableField id="8" name="direccion" tableColumnId="8"/>
      <queryTableField id="9" name="telefono_1" tableColumnId="9"/>
      <queryTableField id="10" name="telefono_2" tableColumnId="10"/>
      <queryTableField id="11" name="LOS" tableColumnId="11"/>
      <queryTableField id="12" name="COD" tableColumnId="12"/>
      <queryTableField id="13" name="razon" tableColumnId="13"/>
      <queryTableField id="14" name="POD" tableColumnId="14"/>
      <queryTableField id="15" name="cajas" tableColumnId="15"/>
      <queryTableField id="16" name="adicionales" tableColumnId="16"/>
      <queryTableField id="17" name="estado" tableColumnId="17"/>
      <queryTableField id="18" name="TIMESTAMP_" tableColumnId="18"/>
      <queryTableField id="19" name="solicitante" tableColumnId="19"/>
      <queryTableField id="20" name="buzon" tableColumnId="20"/>
      <queryTableField id="21" name="estado" tableColumnId="21"/>
      <queryTableField id="25" name="autorizacion" tableColumnId="25"/>
      <queryTableField id="26" name="descripcion_adicional" tableColumnId="26"/>
      <queryTableField id="28" name="fecha_solicitud" tableColumnId="27"/>
      <queryTableField id="30" name="TIMESTAMP_" tableColumnId="28"/>
      <queryTableField id="31" name="flete_solicitud" tableColumnId="29"/>
      <queryTableField id="23" dataBound="0" tableColumnId="23"/>
      <queryTableField id="24" dataBound="0" tableColumnId="2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Tabla4" displayName="Tabla4" ref="A3:C38" totalsRowShown="0" headerRowDxfId="36" dataDxfId="35" totalsRowDxfId="34">
  <autoFilter ref="A3:C38"/>
  <sortState ref="A4:C38">
    <sortCondition ref="A3:A38"/>
  </sortState>
  <tableColumns count="3">
    <tableColumn id="1" name="ZONA" dataDxfId="33" totalsRowDxfId="32"/>
    <tableColumn id="2" name="BUZON" dataDxfId="31" totalsRowDxfId="30"/>
    <tableColumn id="3" name="PEDIDO" dataDxfId="29" totalsRowDxfId="28">
      <calculatedColumnFormula>COUNTIFS(Info!$E:$E,Reporte!A4,Info!$W:$W,Reporte!B4)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a_ss2p_pedidos" displayName="Tabla_ss2p_pedidos" ref="A1:AB193" tableType="queryTable" totalsRowShown="0">
  <autoFilter ref="A1:AB193"/>
  <sortState ref="A2:AB193">
    <sortCondition ref="E2:E14"/>
    <sortCondition ref="C2:C14"/>
    <sortCondition ref="X2:X14"/>
  </sortState>
  <tableColumns count="28">
    <tableColumn id="1" uniqueName="1" name="id_pedido" queryTableFieldId="1" dataDxfId="27"/>
    <tableColumn id="2" uniqueName="2" name="cod_consejera" queryTableFieldId="2" dataDxfId="26"/>
    <tableColumn id="3" uniqueName="3" name="zona" queryTableFieldId="3" dataDxfId="25"/>
    <tableColumn id="4" uniqueName="4" name="sector" queryTableFieldId="4" dataDxfId="24"/>
    <tableColumn id="5" uniqueName="5" name="camp" queryTableFieldId="5" dataDxfId="23"/>
    <tableColumn id="6" uniqueName="6" name="anio" queryTableFieldId="6" dataDxfId="22"/>
    <tableColumn id="7" uniqueName="7" name="nombres" queryTableFieldId="7" dataDxfId="21"/>
    <tableColumn id="8" uniqueName="8" name="direccion" queryTableFieldId="8" dataDxfId="20"/>
    <tableColumn id="9" uniqueName="9" name="telefono_1" queryTableFieldId="9" dataDxfId="19"/>
    <tableColumn id="10" uniqueName="10" name="telefono_2" queryTableFieldId="10" dataDxfId="18"/>
    <tableColumn id="11" uniqueName="11" name="LOS" queryTableFieldId="11" dataDxfId="17"/>
    <tableColumn id="12" uniqueName="12" name="COD" queryTableFieldId="12" dataDxfId="16"/>
    <tableColumn id="13" uniqueName="13" name="razon" queryTableFieldId="13" dataDxfId="15"/>
    <tableColumn id="14" uniqueName="14" name="POD" queryTableFieldId="14" dataDxfId="14"/>
    <tableColumn id="15" uniqueName="15" name="cajas" queryTableFieldId="15" dataDxfId="13"/>
    <tableColumn id="16" uniqueName="16" name="adicionales" queryTableFieldId="16" dataDxfId="12"/>
    <tableColumn id="17" uniqueName="17" name="estado" queryTableFieldId="17" dataDxfId="11"/>
    <tableColumn id="18" uniqueName="18" name="TIMESTAMP_" queryTableFieldId="18" dataDxfId="10"/>
    <tableColumn id="19" uniqueName="19" name="solicitante" queryTableFieldId="19" dataDxfId="9"/>
    <tableColumn id="20" uniqueName="20" name="buzon" queryTableFieldId="20" dataDxfId="8"/>
    <tableColumn id="21" uniqueName="21" name="estado2" queryTableFieldId="21" dataDxfId="7"/>
    <tableColumn id="25" uniqueName="25" name="autorizacion" queryTableFieldId="25" dataDxfId="6"/>
    <tableColumn id="26" uniqueName="26" name="descripcion_adicional" queryTableFieldId="26" dataDxfId="5"/>
    <tableColumn id="27" uniqueName="27" name="fecha_solicitud" queryTableFieldId="28" dataDxfId="4"/>
    <tableColumn id="28" uniqueName="28" name="TIMESTAMP_3" queryTableFieldId="30" dataDxfId="3"/>
    <tableColumn id="29" uniqueName="29" name="flete_solicitud" queryTableFieldId="31" dataDxfId="2"/>
    <tableColumn id="23" uniqueName="23" name="CORRELATIVO" queryTableFieldId="23" dataDxfId="1">
      <calculatedColumnFormula>IFERROR(IF(OR(C2&lt;&gt;C1,ABS(TEXT(Tabla_ss2p_pedidos[[#This Row],[fecha_solicitud]],"d")-TEXT(Tabla_ss2p_pedidos[[#This Row],[fecha_solicitud]],"d"))&gt;=1),1,AA1+1),1)</calculatedColumnFormula>
    </tableColumn>
    <tableColumn id="24" uniqueName="24" name="match" queryTableFieldId="24" dataDxfId="0">
      <calculatedColumnFormula>Tabla_ss2p_pedidos[[#This Row],[CORRELATIVO]]&amp;Tabla_ss2p_pedidos[[#This Row],[camp]]&amp;Tabla_ss2p_pedidos[[#This Row],[anio]]&amp;Tabla_ss2p_pedidos[[#This Row],[zona]]&amp;TEXT(Tabla_ss2p_pedidos[[#This Row],[fecha_solicitud]],"ddmmyyyy")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73"/>
  <sheetViews>
    <sheetView showGridLines="0" tabSelected="1" zoomScale="90" zoomScaleNormal="90" workbookViewId="0">
      <selection activeCell="C1" sqref="C1"/>
    </sheetView>
  </sheetViews>
  <sheetFormatPr defaultColWidth="11.42578125" defaultRowHeight="13.5" x14ac:dyDescent="0.25"/>
  <cols>
    <col min="1" max="1" width="7.7109375" style="74" bestFit="1" customWidth="1"/>
    <col min="2" max="2" width="22.5703125" style="75" bestFit="1" customWidth="1"/>
    <col min="3" max="3" width="8.7109375" style="80" customWidth="1"/>
    <col min="4" max="4" width="10.7109375" style="75" customWidth="1"/>
    <col min="5" max="5" width="7.7109375" style="75" bestFit="1" customWidth="1"/>
    <col min="6" max="6" width="20.28515625" style="75" bestFit="1" customWidth="1"/>
    <col min="7" max="7" width="8.7109375" style="80" customWidth="1"/>
    <col min="8" max="8" width="10.7109375" style="75" customWidth="1"/>
    <col min="9" max="9" width="7.7109375" style="75" bestFit="1" customWidth="1"/>
    <col min="10" max="10" width="16.85546875" style="75" bestFit="1" customWidth="1"/>
    <col min="11" max="11" width="8.7109375" style="80" customWidth="1"/>
    <col min="12" max="16384" width="11.42578125" style="75"/>
  </cols>
  <sheetData>
    <row r="1" spans="1:15" x14ac:dyDescent="0.25">
      <c r="I1" s="75" t="s">
        <v>729</v>
      </c>
      <c r="J1" s="91">
        <f ca="1">TODAY()</f>
        <v>42096</v>
      </c>
      <c r="K1" s="91"/>
    </row>
    <row r="2" spans="1:15" x14ac:dyDescent="0.25">
      <c r="A2" s="88" t="s">
        <v>704</v>
      </c>
      <c r="B2" s="88"/>
      <c r="C2" s="88"/>
      <c r="D2" s="83"/>
      <c r="E2" s="89" t="s">
        <v>705</v>
      </c>
      <c r="F2" s="88"/>
      <c r="G2" s="90"/>
      <c r="H2" s="83"/>
      <c r="I2" s="89" t="s">
        <v>706</v>
      </c>
      <c r="J2" s="88"/>
      <c r="K2" s="90"/>
      <c r="L2" s="78"/>
    </row>
    <row r="3" spans="1:15" ht="18.75" customHeight="1" x14ac:dyDescent="0.25">
      <c r="A3" s="77" t="s">
        <v>63</v>
      </c>
      <c r="B3" s="77" t="s">
        <v>15</v>
      </c>
      <c r="C3" s="81" t="s">
        <v>730</v>
      </c>
      <c r="D3" s="78"/>
      <c r="E3" s="82" t="s">
        <v>63</v>
      </c>
      <c r="F3" s="77" t="s">
        <v>15</v>
      </c>
      <c r="G3" s="84" t="s">
        <v>730</v>
      </c>
      <c r="H3" s="78"/>
      <c r="I3" s="82" t="s">
        <v>63</v>
      </c>
      <c r="J3" s="77" t="s">
        <v>15</v>
      </c>
      <c r="K3" s="84" t="s">
        <v>730</v>
      </c>
      <c r="L3" s="78"/>
      <c r="O3" s="76"/>
    </row>
    <row r="4" spans="1:15" x14ac:dyDescent="0.25">
      <c r="A4" s="77">
        <v>201</v>
      </c>
      <c r="B4" s="78" t="s">
        <v>707</v>
      </c>
      <c r="C4" s="81">
        <f>COUNTIFS(Info!$E:$E,Reporte!A4,Info!$W:$W,Reporte!B4)</f>
        <v>0</v>
      </c>
      <c r="D4" s="78"/>
      <c r="E4" s="82">
        <v>206</v>
      </c>
      <c r="F4" s="78" t="s">
        <v>708</v>
      </c>
      <c r="G4" s="84">
        <f>COUNTIFS(Info!$E:$E,Reporte!E4,Info!$W:$W,Reporte!F4)</f>
        <v>0</v>
      </c>
      <c r="H4" s="78"/>
      <c r="I4" s="82">
        <v>210</v>
      </c>
      <c r="J4" s="78" t="s">
        <v>672</v>
      </c>
      <c r="K4" s="84">
        <f>COUNTIFS(Info!$E:$E,Reporte!I4,Info!$W:$W,Reporte!J4)</f>
        <v>0</v>
      </c>
      <c r="L4" s="78"/>
      <c r="O4" s="76"/>
    </row>
    <row r="5" spans="1:15" x14ac:dyDescent="0.25">
      <c r="A5" s="77">
        <v>201</v>
      </c>
      <c r="B5" s="78" t="s">
        <v>709</v>
      </c>
      <c r="C5" s="81">
        <f>COUNTIFS(Info!$E:$E,Reporte!A5,Info!$W:$W,Reporte!B5)</f>
        <v>0</v>
      </c>
      <c r="D5" s="78"/>
      <c r="E5" s="82">
        <v>206</v>
      </c>
      <c r="F5" s="78" t="s">
        <v>728</v>
      </c>
      <c r="G5" s="84">
        <f>COUNTIFS(Info!$E:$E,Reporte!E5,Info!$W:$W,Reporte!F5)</f>
        <v>0</v>
      </c>
      <c r="H5" s="78"/>
      <c r="I5" s="82">
        <v>210</v>
      </c>
      <c r="J5" s="78" t="s">
        <v>717</v>
      </c>
      <c r="K5" s="84">
        <f>COUNTIFS(Info!$E:$E,Reporte!I19,Info!$W:$W,Reporte!J19)</f>
        <v>0</v>
      </c>
      <c r="L5" s="78"/>
      <c r="O5" s="76"/>
    </row>
    <row r="6" spans="1:15" x14ac:dyDescent="0.25">
      <c r="A6" s="77">
        <v>204</v>
      </c>
      <c r="B6" s="78" t="s">
        <v>189</v>
      </c>
      <c r="C6" s="81">
        <f>COUNTIFS(Info!$E:$E,Reporte!A6,Info!$W:$W,Reporte!B6)</f>
        <v>0</v>
      </c>
      <c r="D6" s="78"/>
      <c r="E6" s="82">
        <v>208</v>
      </c>
      <c r="F6" s="78" t="s">
        <v>174</v>
      </c>
      <c r="G6" s="84">
        <f>COUNTIFS(Info!$E:$E,Reporte!E6,Info!$W:$W,Reporte!F6)</f>
        <v>0</v>
      </c>
      <c r="H6" s="78"/>
      <c r="I6" s="82">
        <v>211</v>
      </c>
      <c r="J6" s="78" t="s">
        <v>232</v>
      </c>
      <c r="K6" s="84">
        <f>COUNTIFS(Info!$E:$E,Reporte!I5,Info!$W:$W,Reporte!J5)</f>
        <v>0</v>
      </c>
      <c r="L6" s="78"/>
      <c r="O6" s="76"/>
    </row>
    <row r="7" spans="1:15" x14ac:dyDescent="0.25">
      <c r="A7" s="77">
        <v>204</v>
      </c>
      <c r="B7" s="78" t="s">
        <v>77</v>
      </c>
      <c r="C7" s="81">
        <f>COUNTIFS(Info!$E:$E,Reporte!A7,Info!$W:$W,Reporte!B7)</f>
        <v>0</v>
      </c>
      <c r="D7" s="78"/>
      <c r="E7" s="82">
        <v>217</v>
      </c>
      <c r="F7" s="78" t="s">
        <v>322</v>
      </c>
      <c r="G7" s="84">
        <f>COUNTIFS(Info!$E:$E,Reporte!E7,Info!$W:$W,Reporte!F7)</f>
        <v>0</v>
      </c>
      <c r="H7" s="78"/>
      <c r="I7" s="82">
        <v>212</v>
      </c>
      <c r="J7" s="78" t="s">
        <v>710</v>
      </c>
      <c r="K7" s="84">
        <f>COUNTIFS(Info!$E:$E,Reporte!I6,Info!$W:$W,Reporte!J6)</f>
        <v>0</v>
      </c>
      <c r="L7" s="78"/>
      <c r="O7" s="76"/>
    </row>
    <row r="8" spans="1:15" x14ac:dyDescent="0.25">
      <c r="A8" s="77">
        <v>205</v>
      </c>
      <c r="B8" s="78" t="s">
        <v>711</v>
      </c>
      <c r="C8" s="81">
        <f>COUNTIFS(Info!$E:$E,Reporte!A8,Info!$W:$W,Reporte!B8)</f>
        <v>0</v>
      </c>
      <c r="D8" s="78"/>
      <c r="E8" s="82">
        <v>217</v>
      </c>
      <c r="F8" s="78" t="s">
        <v>82</v>
      </c>
      <c r="G8" s="84">
        <f>COUNTIFS(Info!$E:$E,Reporte!E8,Info!$W:$W,Reporte!F8)</f>
        <v>0</v>
      </c>
      <c r="H8" s="78"/>
      <c r="I8" s="82">
        <v>212</v>
      </c>
      <c r="J8" s="78" t="s">
        <v>672</v>
      </c>
      <c r="K8" s="84">
        <f>COUNTIFS(Info!$E:$E,Reporte!I7,Info!$W:$W,Reporte!J7)</f>
        <v>0</v>
      </c>
      <c r="L8" s="78"/>
      <c r="O8" s="79"/>
    </row>
    <row r="9" spans="1:15" x14ac:dyDescent="0.25">
      <c r="A9" s="77">
        <v>205</v>
      </c>
      <c r="B9" s="78" t="s">
        <v>713</v>
      </c>
      <c r="C9" s="81">
        <f>COUNTIFS(Info!$E:$E,Reporte!A9,Info!$W:$W,Reporte!B9)</f>
        <v>0</v>
      </c>
      <c r="D9" s="78"/>
      <c r="E9" s="82">
        <v>218</v>
      </c>
      <c r="F9" s="78" t="s">
        <v>174</v>
      </c>
      <c r="G9" s="84">
        <f>COUNTIFS(Info!$E:$E,Reporte!E9,Info!$W:$W,Reporte!F9)</f>
        <v>0</v>
      </c>
      <c r="H9" s="78"/>
      <c r="I9" s="82">
        <v>212</v>
      </c>
      <c r="J9" s="78" t="s">
        <v>721</v>
      </c>
      <c r="K9" s="84">
        <f>COUNTIFS(Info!$E:$E,Reporte!I16,Info!$W:$W,Reporte!J16)</f>
        <v>0</v>
      </c>
      <c r="L9" s="78"/>
      <c r="O9" s="79"/>
    </row>
    <row r="10" spans="1:15" x14ac:dyDescent="0.25">
      <c r="A10" s="77">
        <v>205</v>
      </c>
      <c r="B10" s="78" t="s">
        <v>714</v>
      </c>
      <c r="C10" s="81">
        <f>COUNTIFS(Info!$E:$E,Reporte!A10,Info!$W:$W,Reporte!B10)</f>
        <v>0</v>
      </c>
      <c r="D10" s="78"/>
      <c r="E10" s="82">
        <v>218</v>
      </c>
      <c r="F10" s="78" t="s">
        <v>355</v>
      </c>
      <c r="G10" s="84">
        <f>COUNTIFS(Info!$E:$E,Reporte!E10,Info!$W:$W,Reporte!F10)</f>
        <v>0</v>
      </c>
      <c r="H10" s="78"/>
      <c r="I10" s="82">
        <v>216</v>
      </c>
      <c r="J10" s="78" t="s">
        <v>712</v>
      </c>
      <c r="K10" s="84">
        <f>COUNTIFS(Info!$E:$E,Reporte!I8,Info!$W:$W,Reporte!J8)</f>
        <v>0</v>
      </c>
      <c r="L10" s="78"/>
    </row>
    <row r="11" spans="1:15" x14ac:dyDescent="0.25">
      <c r="A11" s="77">
        <v>205</v>
      </c>
      <c r="B11" s="78" t="s">
        <v>716</v>
      </c>
      <c r="C11" s="81">
        <f>COUNTIFS(Info!$E:$E,Reporte!A11,Info!$W:$W,Reporte!B11)</f>
        <v>0</v>
      </c>
      <c r="D11" s="78"/>
      <c r="E11" s="82">
        <v>221</v>
      </c>
      <c r="F11" s="78" t="s">
        <v>702</v>
      </c>
      <c r="G11" s="84">
        <f>COUNTIFS(Info!$E:$E,Reporte!E11,Info!$W:$W,Reporte!F11)</f>
        <v>0</v>
      </c>
      <c r="H11" s="78"/>
      <c r="I11" s="82">
        <v>216</v>
      </c>
      <c r="J11" s="78" t="s">
        <v>672</v>
      </c>
      <c r="K11" s="84">
        <f>COUNTIFS(Info!$E:$E,Reporte!I9,Info!$W:$W,Reporte!J9)</f>
        <v>0</v>
      </c>
      <c r="L11" s="78"/>
    </row>
    <row r="12" spans="1:15" x14ac:dyDescent="0.25">
      <c r="A12" s="77">
        <v>207</v>
      </c>
      <c r="B12" s="78" t="s">
        <v>718</v>
      </c>
      <c r="C12" s="81">
        <f>COUNTIFS(Info!$E:$E,Reporte!A12,Info!$W:$W,Reporte!B12)</f>
        <v>0</v>
      </c>
      <c r="D12" s="78"/>
      <c r="E12" s="82">
        <v>221</v>
      </c>
      <c r="F12" s="78" t="s">
        <v>701</v>
      </c>
      <c r="G12" s="84">
        <f>COUNTIFS(Info!$E:$E,Reporte!E12,Info!$W:$W,Reporte!F12)</f>
        <v>0</v>
      </c>
      <c r="H12" s="78"/>
      <c r="I12" s="82">
        <v>222</v>
      </c>
      <c r="J12" s="78" t="s">
        <v>715</v>
      </c>
      <c r="K12" s="84">
        <f>COUNTIFS(Info!$E:$E,Reporte!I10,Info!$W:$W,Reporte!J10)</f>
        <v>0</v>
      </c>
      <c r="L12" s="78"/>
    </row>
    <row r="13" spans="1:15" x14ac:dyDescent="0.25">
      <c r="A13" s="77">
        <v>207</v>
      </c>
      <c r="B13" s="78" t="s">
        <v>55</v>
      </c>
      <c r="C13" s="81">
        <f>COUNTIFS(Info!$E:$E,Reporte!A13,Info!$W:$W,Reporte!B13)</f>
        <v>0</v>
      </c>
      <c r="D13" s="78"/>
      <c r="E13" s="82">
        <v>229</v>
      </c>
      <c r="F13" s="78" t="s">
        <v>491</v>
      </c>
      <c r="G13" s="84">
        <f>COUNTIFS(Info!$E:$E,Reporte!E13,Info!$W:$W,Reporte!F13)</f>
        <v>0</v>
      </c>
      <c r="H13" s="78"/>
      <c r="I13" s="82">
        <v>222</v>
      </c>
      <c r="J13" s="78" t="s">
        <v>717</v>
      </c>
      <c r="K13" s="84">
        <f>COUNTIFS(Info!$E:$E,Reporte!I11,Info!$W:$W,Reporte!J11)</f>
        <v>0</v>
      </c>
      <c r="L13" s="78"/>
    </row>
    <row r="14" spans="1:15" x14ac:dyDescent="0.25">
      <c r="A14" s="77">
        <v>215</v>
      </c>
      <c r="B14" s="78" t="s">
        <v>293</v>
      </c>
      <c r="C14" s="81">
        <f>COUNTIFS(Info!$E:$E,Reporte!A14,Info!$W:$W,Reporte!B14)</f>
        <v>0</v>
      </c>
      <c r="D14" s="78"/>
      <c r="E14" s="82">
        <v>232</v>
      </c>
      <c r="F14" s="78" t="s">
        <v>719</v>
      </c>
      <c r="G14" s="84">
        <f>COUNTIFS(Info!$E:$E,Reporte!E14,Info!$W:$W,Reporte!F14)</f>
        <v>0</v>
      </c>
      <c r="H14" s="78"/>
      <c r="I14" s="82">
        <v>222</v>
      </c>
      <c r="J14" s="78" t="s">
        <v>672</v>
      </c>
      <c r="K14" s="84">
        <f>COUNTIFS(Info!$E:$E,Reporte!I13,Info!$W:$W,Reporte!J13)</f>
        <v>0</v>
      </c>
      <c r="L14" s="78"/>
    </row>
    <row r="15" spans="1:15" x14ac:dyDescent="0.25">
      <c r="A15" s="77">
        <v>215</v>
      </c>
      <c r="B15" s="78" t="s">
        <v>316</v>
      </c>
      <c r="C15" s="81">
        <f>COUNTIFS(Info!$E:$E,Reporte!A15,Info!$W:$W,Reporte!B15)</f>
        <v>0</v>
      </c>
      <c r="D15" s="78"/>
      <c r="E15" s="82">
        <v>232</v>
      </c>
      <c r="F15" s="78" t="s">
        <v>720</v>
      </c>
      <c r="G15" s="84">
        <f>COUNTIFS(Info!$E:$E,Reporte!E15,Info!$W:$W,Reporte!F15)</f>
        <v>0</v>
      </c>
      <c r="H15" s="78"/>
      <c r="I15" s="82">
        <v>231</v>
      </c>
      <c r="J15" s="78" t="s">
        <v>717</v>
      </c>
      <c r="K15" s="84">
        <f>COUNTIFS(Info!$E:$E,Reporte!I14,Info!$W:$W,Reporte!J14)</f>
        <v>0</v>
      </c>
      <c r="L15" s="78"/>
    </row>
    <row r="16" spans="1:15" x14ac:dyDescent="0.25">
      <c r="A16" s="77">
        <v>215</v>
      </c>
      <c r="B16" s="78" t="s">
        <v>283</v>
      </c>
      <c r="C16" s="81">
        <f>COUNTIFS(Info!$E:$E,Reporte!A16,Info!$W:$W,Reporte!B16)</f>
        <v>0</v>
      </c>
      <c r="D16" s="78"/>
      <c r="E16" s="82">
        <v>233</v>
      </c>
      <c r="F16" s="78" t="s">
        <v>174</v>
      </c>
      <c r="G16" s="84">
        <f>COUNTIFS(Info!$E:$E,Reporte!E16,Info!$W:$W,Reporte!F16)</f>
        <v>0</v>
      </c>
      <c r="H16" s="78"/>
      <c r="I16" s="82">
        <v>235</v>
      </c>
      <c r="J16" s="78" t="s">
        <v>672</v>
      </c>
      <c r="K16" s="84">
        <f>COUNTIFS(Info!$E:$E,Reporte!I15,Info!$W:$W,Reporte!J15)</f>
        <v>0</v>
      </c>
      <c r="L16" s="78"/>
    </row>
    <row r="17" spans="1:12" x14ac:dyDescent="0.25">
      <c r="A17" s="77">
        <v>215</v>
      </c>
      <c r="B17" s="78" t="s">
        <v>277</v>
      </c>
      <c r="C17" s="81">
        <f>COUNTIFS(Info!$E:$E,Reporte!A17,Info!$W:$W,Reporte!B17)</f>
        <v>0</v>
      </c>
      <c r="D17" s="78"/>
      <c r="E17" s="82">
        <v>236</v>
      </c>
      <c r="F17" s="78" t="s">
        <v>720</v>
      </c>
      <c r="G17" s="84">
        <f>COUNTIFS(Info!$E:$E,Reporte!E17,Info!$W:$W,Reporte!F17)</f>
        <v>0</v>
      </c>
      <c r="H17" s="78"/>
      <c r="I17" s="82">
        <v>235</v>
      </c>
      <c r="J17" s="78" t="s">
        <v>722</v>
      </c>
      <c r="K17" s="84">
        <f>COUNTIFS(Info!$E:$E,Reporte!I17,Info!$W:$W,Reporte!J17)</f>
        <v>0</v>
      </c>
      <c r="L17" s="78"/>
    </row>
    <row r="18" spans="1:12" x14ac:dyDescent="0.25">
      <c r="A18" s="77">
        <v>215</v>
      </c>
      <c r="B18" s="78" t="s">
        <v>297</v>
      </c>
      <c r="C18" s="81">
        <f>COUNTIFS(Info!$E:$E,Reporte!A18,Info!$W:$W,Reporte!B18)</f>
        <v>0</v>
      </c>
      <c r="D18" s="78"/>
      <c r="E18" s="82">
        <v>236</v>
      </c>
      <c r="F18" s="78" t="s">
        <v>723</v>
      </c>
      <c r="G18" s="84">
        <f>COUNTIFS(Info!$E:$E,Reporte!E18,Info!$W:$W,Reporte!F18)</f>
        <v>0</v>
      </c>
      <c r="H18" s="78"/>
      <c r="I18" s="82">
        <v>235</v>
      </c>
      <c r="J18" s="78" t="s">
        <v>715</v>
      </c>
      <c r="K18" s="84">
        <f>COUNTIFS(Info!$E:$E,Reporte!I18,Info!$W:$W,Reporte!J18)</f>
        <v>0</v>
      </c>
      <c r="L18" s="78"/>
    </row>
    <row r="19" spans="1:12" x14ac:dyDescent="0.25">
      <c r="A19" s="77">
        <v>220</v>
      </c>
      <c r="B19" s="78" t="s">
        <v>381</v>
      </c>
      <c r="C19" s="81">
        <f>COUNTIFS(Info!$E:$E,Reporte!A19,Info!$W:$W,Reporte!B19)</f>
        <v>0</v>
      </c>
      <c r="D19" s="78"/>
      <c r="E19" s="82">
        <v>238</v>
      </c>
      <c r="F19" s="78" t="s">
        <v>703</v>
      </c>
      <c r="G19" s="84">
        <f>COUNTIFS(Info!$E:$E,Reporte!E19,Info!$W:$W,Reporte!F19)</f>
        <v>0</v>
      </c>
      <c r="H19" s="78"/>
      <c r="I19" s="82">
        <v>239</v>
      </c>
      <c r="J19" s="78" t="s">
        <v>672</v>
      </c>
      <c r="K19" s="84">
        <f>COUNTIFS(Info!$E:$E,Reporte!I12,Info!$W:$W,Reporte!J12)</f>
        <v>0</v>
      </c>
      <c r="L19" s="78"/>
    </row>
    <row r="20" spans="1:12" x14ac:dyDescent="0.25">
      <c r="A20" s="77">
        <v>220</v>
      </c>
      <c r="B20" s="78" t="s">
        <v>393</v>
      </c>
      <c r="C20" s="81">
        <f>COUNTIFS(Info!$E:$E,Reporte!A20,Info!$W:$W,Reporte!B20)</f>
        <v>0</v>
      </c>
      <c r="D20" s="78"/>
      <c r="E20" s="82">
        <v>238</v>
      </c>
      <c r="F20" s="78" t="s">
        <v>169</v>
      </c>
      <c r="G20" s="84">
        <f>COUNTIFS(Info!$E:$E,Reporte!E20,Info!$W:$W,Reporte!F20)</f>
        <v>0</v>
      </c>
      <c r="H20" s="78"/>
      <c r="I20" s="82"/>
      <c r="J20" s="78"/>
      <c r="K20" s="84"/>
      <c r="L20" s="78"/>
    </row>
    <row r="21" spans="1:12" x14ac:dyDescent="0.25">
      <c r="A21" s="77">
        <v>220</v>
      </c>
      <c r="B21" s="78" t="s">
        <v>700</v>
      </c>
      <c r="C21" s="81">
        <f>COUNTIFS(Info!$E:$E,Reporte!A21,Info!$W:$W,Reporte!B21)</f>
        <v>0</v>
      </c>
      <c r="D21" s="78"/>
      <c r="E21" s="82">
        <v>238</v>
      </c>
      <c r="F21" s="78" t="s">
        <v>174</v>
      </c>
      <c r="G21" s="84">
        <f>COUNTIFS(Info!$E:$E,Reporte!E21,Info!$W:$W,Reporte!F21)</f>
        <v>0</v>
      </c>
      <c r="H21" s="78"/>
      <c r="I21" s="82">
        <v>231</v>
      </c>
      <c r="J21" s="78" t="s">
        <v>672</v>
      </c>
      <c r="K21" s="84">
        <f>COUNTIFS(Info!$E:$E,Reporte!I21,Info!$W:$W,Reporte!J21)</f>
        <v>0</v>
      </c>
      <c r="L21" s="78"/>
    </row>
    <row r="22" spans="1:12" x14ac:dyDescent="0.25">
      <c r="A22" s="77">
        <v>223</v>
      </c>
      <c r="B22" s="78" t="s">
        <v>724</v>
      </c>
      <c r="C22" s="81">
        <f>COUNTIFS(Info!$E:$E,Reporte!A22,Info!$W:$W,Reporte!B22)</f>
        <v>0</v>
      </c>
      <c r="D22" s="78"/>
      <c r="E22" s="85">
        <v>240</v>
      </c>
      <c r="F22" s="86" t="s">
        <v>720</v>
      </c>
      <c r="G22" s="87">
        <f>COUNTIFS(Info!$E:$E,Reporte!E22,Info!$W:$W,Reporte!F22)</f>
        <v>0</v>
      </c>
      <c r="H22" s="86"/>
      <c r="K22" s="80">
        <f>SUM(K4:K21)</f>
        <v>0</v>
      </c>
      <c r="L22" s="78"/>
    </row>
    <row r="23" spans="1:12" x14ac:dyDescent="0.25">
      <c r="A23" s="77">
        <v>223</v>
      </c>
      <c r="B23" s="78" t="s">
        <v>725</v>
      </c>
      <c r="C23" s="81">
        <f>COUNTIFS(Info!$E:$E,Reporte!A23,Info!$W:$W,Reporte!B23)</f>
        <v>0</v>
      </c>
      <c r="D23" s="78"/>
      <c r="E23" s="77"/>
      <c r="F23" s="78"/>
      <c r="G23" s="81">
        <f>SUM(G4:G22)</f>
        <v>0</v>
      </c>
      <c r="H23" s="78"/>
      <c r="I23" s="78"/>
      <c r="J23" s="78"/>
      <c r="K23" s="81"/>
      <c r="L23" s="78"/>
    </row>
    <row r="24" spans="1:12" x14ac:dyDescent="0.25">
      <c r="A24" s="77">
        <v>227</v>
      </c>
      <c r="B24" s="78" t="s">
        <v>55</v>
      </c>
      <c r="C24" s="81">
        <f>COUNTIFS(Info!$E:$E,Reporte!A24,Info!$W:$W,Reporte!B24)</f>
        <v>0</v>
      </c>
      <c r="D24" s="78"/>
      <c r="E24" s="78"/>
      <c r="F24" s="78"/>
      <c r="G24" s="81"/>
      <c r="H24" s="78"/>
      <c r="I24" s="78"/>
      <c r="J24" s="78"/>
      <c r="K24" s="81"/>
      <c r="L24" s="78"/>
    </row>
    <row r="25" spans="1:12" x14ac:dyDescent="0.25">
      <c r="A25" s="77">
        <v>228</v>
      </c>
      <c r="B25" s="78" t="s">
        <v>463</v>
      </c>
      <c r="C25" s="81">
        <f>COUNTIFS(Info!$E:$E,Reporte!A25,Info!$W:$W,Reporte!B25)</f>
        <v>0</v>
      </c>
      <c r="D25" s="78"/>
      <c r="E25" s="78"/>
      <c r="F25" s="78"/>
      <c r="G25" s="81"/>
      <c r="H25" s="78"/>
      <c r="I25" s="77"/>
      <c r="J25" s="78"/>
      <c r="K25" s="81"/>
      <c r="L25" s="78"/>
    </row>
    <row r="26" spans="1:12" x14ac:dyDescent="0.25">
      <c r="A26" s="77">
        <v>228</v>
      </c>
      <c r="B26" s="78" t="s">
        <v>430</v>
      </c>
      <c r="C26" s="81">
        <f>COUNTIFS(Info!$E:$E,Reporte!A26,Info!$W:$W,Reporte!B26)</f>
        <v>0</v>
      </c>
      <c r="D26" s="78"/>
      <c r="E26" s="78"/>
      <c r="F26" s="78"/>
      <c r="G26" s="81"/>
      <c r="H26" s="78"/>
      <c r="I26" s="77"/>
      <c r="J26" s="78"/>
      <c r="K26" s="81"/>
      <c r="L26" s="78"/>
    </row>
    <row r="27" spans="1:12" x14ac:dyDescent="0.25">
      <c r="A27" s="77">
        <v>228</v>
      </c>
      <c r="B27" s="78" t="s">
        <v>726</v>
      </c>
      <c r="C27" s="81">
        <f>COUNTIFS(Info!$E:$E,Reporte!A27,Info!$W:$W,Reporte!B27)</f>
        <v>0</v>
      </c>
      <c r="D27" s="78"/>
      <c r="E27" s="78"/>
      <c r="F27" s="78"/>
      <c r="G27" s="81"/>
      <c r="H27" s="78"/>
      <c r="I27" s="77"/>
      <c r="J27" s="78"/>
      <c r="K27" s="81"/>
      <c r="L27" s="78"/>
    </row>
    <row r="28" spans="1:12" x14ac:dyDescent="0.25">
      <c r="A28" s="77">
        <v>228</v>
      </c>
      <c r="B28" s="78" t="s">
        <v>454</v>
      </c>
      <c r="C28" s="81">
        <f>COUNTIFS(Info!$E:$E,Reporte!A28,Info!$W:$W,Reporte!B28)</f>
        <v>0</v>
      </c>
      <c r="D28" s="78"/>
      <c r="E28" s="78"/>
      <c r="F28" s="78"/>
      <c r="G28" s="81"/>
      <c r="H28" s="78"/>
      <c r="I28" s="77"/>
      <c r="J28" s="78"/>
      <c r="K28" s="81"/>
      <c r="L28" s="78"/>
    </row>
    <row r="29" spans="1:12" x14ac:dyDescent="0.25">
      <c r="A29" s="77">
        <v>228</v>
      </c>
      <c r="B29" s="78" t="s">
        <v>443</v>
      </c>
      <c r="C29" s="81">
        <f>COUNTIFS(Info!$E:$E,Reporte!A29,Info!$W:$W,Reporte!B29)</f>
        <v>0</v>
      </c>
      <c r="D29" s="78"/>
      <c r="E29" s="77"/>
      <c r="F29" s="78"/>
      <c r="G29" s="81"/>
      <c r="H29" s="78"/>
      <c r="I29" s="77"/>
      <c r="J29" s="78"/>
      <c r="K29" s="81"/>
      <c r="L29" s="78"/>
    </row>
    <row r="30" spans="1:12" x14ac:dyDescent="0.25">
      <c r="A30" s="77">
        <v>229</v>
      </c>
      <c r="B30" s="78" t="s">
        <v>473</v>
      </c>
      <c r="C30" s="81">
        <f>COUNTIFS(Info!$E:$E,Reporte!A30,Info!$W:$W,Reporte!B30)</f>
        <v>0</v>
      </c>
      <c r="D30" s="78"/>
      <c r="E30" s="77"/>
      <c r="F30" s="78"/>
      <c r="G30" s="81"/>
      <c r="H30" s="78"/>
      <c r="I30" s="77"/>
      <c r="J30" s="78"/>
      <c r="K30" s="81"/>
      <c r="L30" s="78"/>
    </row>
    <row r="31" spans="1:12" x14ac:dyDescent="0.25">
      <c r="A31" s="77">
        <v>230</v>
      </c>
      <c r="B31" s="78" t="s">
        <v>277</v>
      </c>
      <c r="C31" s="81">
        <f>COUNTIFS(Info!$E:$E,Reporte!A31,Info!$W:$W,Reporte!B31)</f>
        <v>0</v>
      </c>
      <c r="D31" s="78"/>
      <c r="E31" s="77"/>
      <c r="F31" s="78"/>
      <c r="G31" s="81"/>
      <c r="H31" s="78"/>
      <c r="I31" s="77"/>
      <c r="J31" s="78"/>
      <c r="K31" s="81"/>
      <c r="L31" s="78"/>
    </row>
    <row r="32" spans="1:12" x14ac:dyDescent="0.25">
      <c r="A32" s="77">
        <v>230</v>
      </c>
      <c r="B32" s="78" t="s">
        <v>145</v>
      </c>
      <c r="C32" s="81">
        <f>COUNTIFS(Info!$E:$E,Reporte!A32,Info!$W:$W,Reporte!B32)</f>
        <v>0</v>
      </c>
      <c r="D32" s="78"/>
      <c r="E32" s="78"/>
      <c r="F32" s="78"/>
      <c r="G32" s="81"/>
      <c r="H32" s="78"/>
      <c r="I32" s="77"/>
      <c r="J32" s="78"/>
      <c r="K32" s="81"/>
      <c r="L32" s="78"/>
    </row>
    <row r="33" spans="1:12" x14ac:dyDescent="0.25">
      <c r="A33" s="77">
        <v>230</v>
      </c>
      <c r="B33" s="78" t="s">
        <v>154</v>
      </c>
      <c r="C33" s="81">
        <f>COUNTIFS(Info!$E:$E,Reporte!A33,Info!$W:$W,Reporte!B33)</f>
        <v>0</v>
      </c>
      <c r="D33" s="78"/>
      <c r="E33" s="78"/>
      <c r="F33" s="78"/>
      <c r="G33" s="81"/>
      <c r="H33" s="78"/>
      <c r="I33" s="77"/>
      <c r="J33" s="78"/>
      <c r="K33" s="81"/>
      <c r="L33" s="78"/>
    </row>
    <row r="34" spans="1:12" x14ac:dyDescent="0.25">
      <c r="A34" s="77">
        <v>230</v>
      </c>
      <c r="B34" s="78" t="s">
        <v>113</v>
      </c>
      <c r="C34" s="81">
        <f>COUNTIFS(Info!$E:$E,Reporte!A34,Info!$W:$W,Reporte!B34)</f>
        <v>0</v>
      </c>
      <c r="D34" s="78"/>
      <c r="E34" s="77"/>
      <c r="F34" s="78"/>
      <c r="G34" s="81"/>
      <c r="H34" s="78"/>
      <c r="I34" s="78"/>
      <c r="J34" s="78"/>
      <c r="K34" s="81"/>
      <c r="L34" s="78"/>
    </row>
    <row r="35" spans="1:12" x14ac:dyDescent="0.25">
      <c r="A35" s="77">
        <v>230</v>
      </c>
      <c r="B35" s="78" t="s">
        <v>131</v>
      </c>
      <c r="C35" s="81">
        <f>COUNTIFS(Info!$E:$E,Reporte!A35,Info!$W:$W,Reporte!B35)</f>
        <v>0</v>
      </c>
      <c r="D35" s="78"/>
      <c r="E35" s="77"/>
      <c r="F35" s="78"/>
      <c r="G35" s="81"/>
      <c r="H35" s="78"/>
      <c r="I35" s="78"/>
      <c r="J35" s="78"/>
      <c r="K35" s="81"/>
      <c r="L35" s="78"/>
    </row>
    <row r="36" spans="1:12" x14ac:dyDescent="0.25">
      <c r="A36" s="77">
        <v>230</v>
      </c>
      <c r="B36" s="78" t="s">
        <v>727</v>
      </c>
      <c r="C36" s="81">
        <f>COUNTIFS(Info!$E:$E,Reporte!A36,Info!$W:$W,Reporte!B36)</f>
        <v>0</v>
      </c>
      <c r="D36" s="78"/>
      <c r="E36" s="77"/>
      <c r="F36" s="78"/>
      <c r="G36" s="81"/>
      <c r="H36" s="78"/>
      <c r="I36" s="78"/>
      <c r="J36" s="78"/>
      <c r="K36" s="81"/>
      <c r="L36" s="78"/>
    </row>
    <row r="37" spans="1:12" x14ac:dyDescent="0.25">
      <c r="A37" s="77">
        <v>234</v>
      </c>
      <c r="B37" s="78" t="s">
        <v>66</v>
      </c>
      <c r="C37" s="81">
        <f>COUNTIFS(Info!$E:$E,Reporte!A37,Info!$W:$W,Reporte!B37)</f>
        <v>0</v>
      </c>
      <c r="D37" s="78"/>
      <c r="E37" s="77"/>
      <c r="F37" s="78"/>
      <c r="G37" s="81"/>
      <c r="H37" s="78"/>
      <c r="I37" s="77"/>
      <c r="J37" s="78"/>
      <c r="K37" s="81"/>
      <c r="L37" s="78"/>
    </row>
    <row r="38" spans="1:12" x14ac:dyDescent="0.25">
      <c r="A38" s="77">
        <v>237</v>
      </c>
      <c r="B38" s="78" t="s">
        <v>60</v>
      </c>
      <c r="C38" s="81">
        <f>COUNTIFS(Info!$E:$E,Reporte!A38,Info!$W:$W,Reporte!B38)</f>
        <v>0</v>
      </c>
      <c r="D38" s="78"/>
      <c r="E38" s="77"/>
      <c r="F38" s="78"/>
      <c r="G38" s="81"/>
      <c r="H38" s="78"/>
      <c r="I38" s="77"/>
      <c r="J38" s="78"/>
      <c r="K38" s="81"/>
      <c r="L38" s="78"/>
    </row>
    <row r="39" spans="1:12" x14ac:dyDescent="0.25">
      <c r="E39" s="74"/>
      <c r="I39" s="74"/>
    </row>
    <row r="40" spans="1:12" x14ac:dyDescent="0.25">
      <c r="E40" s="74"/>
      <c r="I40" s="74"/>
    </row>
    <row r="41" spans="1:12" x14ac:dyDescent="0.25">
      <c r="E41" s="74"/>
    </row>
    <row r="42" spans="1:12" x14ac:dyDescent="0.25">
      <c r="E42" s="74"/>
    </row>
    <row r="44" spans="1:12" x14ac:dyDescent="0.25">
      <c r="E44" s="74"/>
    </row>
    <row r="45" spans="1:12" x14ac:dyDescent="0.25">
      <c r="E45" s="74"/>
    </row>
    <row r="46" spans="1:12" x14ac:dyDescent="0.25">
      <c r="E46" s="74"/>
    </row>
    <row r="47" spans="1:12" x14ac:dyDescent="0.25">
      <c r="E47" s="74"/>
    </row>
    <row r="48" spans="1:12" x14ac:dyDescent="0.25">
      <c r="E48" s="74"/>
    </row>
    <row r="49" spans="5:9" x14ac:dyDescent="0.25">
      <c r="E49" s="74"/>
    </row>
    <row r="50" spans="5:9" x14ac:dyDescent="0.25">
      <c r="I50" s="74"/>
    </row>
    <row r="51" spans="5:9" x14ac:dyDescent="0.25">
      <c r="I51" s="74"/>
    </row>
    <row r="52" spans="5:9" x14ac:dyDescent="0.25">
      <c r="I52" s="74"/>
    </row>
    <row r="53" spans="5:9" x14ac:dyDescent="0.25">
      <c r="E53" s="74"/>
    </row>
    <row r="54" spans="5:9" x14ac:dyDescent="0.25">
      <c r="I54" s="74"/>
    </row>
    <row r="55" spans="5:9" x14ac:dyDescent="0.25">
      <c r="I55" s="74"/>
    </row>
    <row r="56" spans="5:9" x14ac:dyDescent="0.25">
      <c r="I56" s="74"/>
    </row>
    <row r="57" spans="5:9" x14ac:dyDescent="0.25">
      <c r="I57" s="74"/>
    </row>
    <row r="58" spans="5:9" x14ac:dyDescent="0.25">
      <c r="I58" s="74"/>
    </row>
    <row r="59" spans="5:9" x14ac:dyDescent="0.25">
      <c r="I59" s="74"/>
    </row>
    <row r="62" spans="5:9" x14ac:dyDescent="0.25">
      <c r="E62" s="74"/>
    </row>
    <row r="63" spans="5:9" x14ac:dyDescent="0.25">
      <c r="E63" s="74"/>
    </row>
    <row r="64" spans="5:9" x14ac:dyDescent="0.25">
      <c r="E64" s="74"/>
    </row>
    <row r="65" spans="5:5" x14ac:dyDescent="0.25">
      <c r="E65" s="74"/>
    </row>
    <row r="66" spans="5:5" x14ac:dyDescent="0.25">
      <c r="E66" s="74"/>
    </row>
    <row r="67" spans="5:5" x14ac:dyDescent="0.25">
      <c r="E67" s="74"/>
    </row>
    <row r="68" spans="5:5" x14ac:dyDescent="0.25">
      <c r="E68" s="74"/>
    </row>
    <row r="69" spans="5:5" x14ac:dyDescent="0.25">
      <c r="E69" s="74"/>
    </row>
    <row r="70" spans="5:5" x14ac:dyDescent="0.25">
      <c r="E70" s="74"/>
    </row>
    <row r="71" spans="5:5" x14ac:dyDescent="0.25">
      <c r="E71" s="74"/>
    </row>
    <row r="72" spans="5:5" x14ac:dyDescent="0.25">
      <c r="E72" s="74"/>
    </row>
    <row r="73" spans="5:5" x14ac:dyDescent="0.25">
      <c r="E73" s="74"/>
    </row>
  </sheetData>
  <mergeCells count="4">
    <mergeCell ref="A2:C2"/>
    <mergeCell ref="E2:G2"/>
    <mergeCell ref="I2:K2"/>
    <mergeCell ref="J1:K1"/>
  </mergeCells>
  <pageMargins left="0.25" right="0.25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topLeftCell="B1" workbookViewId="0">
      <selection activeCell="B2" sqref="B2"/>
    </sheetView>
  </sheetViews>
  <sheetFormatPr defaultColWidth="9.140625" defaultRowHeight="15" x14ac:dyDescent="0.25"/>
  <cols>
    <col min="2" max="2" width="255.7109375" bestFit="1" customWidth="1"/>
  </cols>
  <sheetData>
    <row r="1" spans="1:2" x14ac:dyDescent="0.25">
      <c r="A1" s="70" t="s">
        <v>181</v>
      </c>
      <c r="B1" s="71" t="e">
        <f>CONCATENATE("SELECT p.*,
s.solicitante, s.buzon, s.estado, S.TIMESTAMP_, s.autorizacion, p.zona
, s.fecha_solicitud, s.flete_solicitud FROM pedidos p","
INNER JOIN solicitudes s
ON s.id_pedido = p.id_pedido 
where s.estado = 'Despachado' AND s.id_tipo_solicitud = 3 AND DATE(S.timestamp_) = '",TEXT(Reporte!#REF!,"yyyy-mm-dd"),"' ORDER BY   p.zona ASC, s.fecha_solicitud")</f>
        <v>#REF!</v>
      </c>
    </row>
    <row r="2" spans="1:2" x14ac:dyDescent="0.25">
      <c r="B2" s="72" t="e">
        <f>LEN(B1)</f>
        <v>#REF!</v>
      </c>
    </row>
    <row r="10" spans="1:2" x14ac:dyDescent="0.25">
      <c r="B10">
        <f>+[1]REPORTE!L7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129"/>
  <sheetViews>
    <sheetView topLeftCell="S1" workbookViewId="0">
      <selection activeCell="S1" sqref="A1:XFD1048576"/>
    </sheetView>
  </sheetViews>
  <sheetFormatPr defaultColWidth="9.140625" defaultRowHeight="15" x14ac:dyDescent="0.25"/>
  <cols>
    <col min="1" max="1" width="5.7109375" customWidth="1"/>
    <col min="2" max="3" width="10" customWidth="1"/>
    <col min="4" max="4" width="13.7109375" customWidth="1"/>
    <col min="5" max="5" width="5.140625" customWidth="1"/>
    <col min="6" max="6" width="6.42578125" bestFit="1" customWidth="1"/>
    <col min="7" max="7" width="5.7109375" customWidth="1"/>
    <col min="8" max="8" width="5" bestFit="1" customWidth="1"/>
    <col min="9" max="9" width="44" customWidth="1"/>
    <col min="10" max="10" width="81.140625" bestFit="1" customWidth="1"/>
    <col min="11" max="11" width="11" customWidth="1"/>
    <col min="12" max="12" width="12" customWidth="1"/>
    <col min="13" max="13" width="4.28515625" customWidth="1"/>
    <col min="14" max="14" width="7" customWidth="1"/>
    <col min="15" max="15" width="24.7109375" customWidth="1"/>
    <col min="16" max="16" width="7" customWidth="1"/>
    <col min="17" max="17" width="5.28515625" customWidth="1"/>
    <col min="18" max="18" width="11" bestFit="1" customWidth="1"/>
    <col min="19" max="19" width="38.7109375" customWidth="1"/>
    <col min="20" max="20" width="7" customWidth="1"/>
    <col min="21" max="21" width="15.7109375" bestFit="1" customWidth="1"/>
    <col min="22" max="23" width="19.85546875" bestFit="1" customWidth="1"/>
    <col min="24" max="24" width="11.7109375" bestFit="1" customWidth="1"/>
    <col min="25" max="25" width="15.7109375" style="15" bestFit="1" customWidth="1"/>
    <col min="26" max="26" width="11.85546875" style="15" customWidth="1"/>
    <col min="27" max="27" width="5.140625" style="15" customWidth="1"/>
    <col min="28" max="28" width="15.7109375" style="15" bestFit="1" customWidth="1"/>
    <col min="29" max="29" width="13.85546875" style="15" customWidth="1"/>
    <col min="30" max="30" width="15.7109375" style="15" bestFit="1" customWidth="1"/>
    <col min="31" max="31" width="15.7109375" bestFit="1" customWidth="1"/>
    <col min="32" max="32" width="15.7109375" style="15" bestFit="1" customWidth="1"/>
    <col min="33" max="34" width="13.85546875" customWidth="1"/>
    <col min="35" max="35" width="13.85546875" style="15" customWidth="1"/>
    <col min="36" max="37" width="15.7109375" style="15" bestFit="1" customWidth="1"/>
    <col min="38" max="38" width="13.85546875" customWidth="1"/>
    <col min="39" max="39" width="5.28515625" customWidth="1"/>
    <col min="40" max="40" width="11" customWidth="1"/>
    <col min="41" max="41" width="20.28515625" customWidth="1"/>
    <col min="42" max="42" width="7" customWidth="1"/>
    <col min="43" max="43" width="15.7109375" customWidth="1"/>
    <col min="44" max="44" width="10.28515625" customWidth="1"/>
    <col min="45" max="45" width="10.42578125" customWidth="1"/>
    <col min="46" max="46" width="11.7109375" customWidth="1"/>
    <col min="47" max="47" width="15.7109375" customWidth="1"/>
    <col min="48" max="48" width="11.85546875" customWidth="1"/>
    <col min="49" max="49" width="15.7109375" customWidth="1"/>
    <col min="50" max="50" width="13.85546875" customWidth="1"/>
    <col min="51" max="51" width="81.140625" customWidth="1"/>
    <col min="52" max="53" width="10.7109375" customWidth="1"/>
    <col min="54" max="54" width="4.28515625" customWidth="1"/>
    <col min="55" max="55" width="7" customWidth="1"/>
    <col min="56" max="56" width="28.28515625" customWidth="1"/>
    <col min="57" max="57" width="7" customWidth="1"/>
    <col min="58" max="58" width="5.28515625" customWidth="1"/>
    <col min="59" max="59" width="11" customWidth="1"/>
    <col min="60" max="60" width="20.28515625" customWidth="1"/>
    <col min="61" max="61" width="7" customWidth="1"/>
    <col min="62" max="62" width="15.7109375" customWidth="1"/>
    <col min="63" max="63" width="10.28515625" customWidth="1"/>
    <col min="64" max="64" width="21.28515625" customWidth="1"/>
    <col min="65" max="65" width="11.7109375" customWidth="1"/>
    <col min="66" max="66" width="15.7109375" customWidth="1"/>
    <col min="67" max="67" width="11.85546875" customWidth="1"/>
    <col min="68" max="68" width="15.7109375" customWidth="1"/>
    <col min="69" max="69" width="13.85546875" customWidth="1"/>
    <col min="70" max="70" width="81.140625" bestFit="1" customWidth="1"/>
    <col min="71" max="72" width="10.7109375" bestFit="1" customWidth="1"/>
    <col min="73" max="73" width="4.28515625" customWidth="1"/>
    <col min="74" max="74" width="7" customWidth="1"/>
    <col min="75" max="75" width="28.28515625" bestFit="1" customWidth="1"/>
    <col min="76" max="76" width="7" customWidth="1"/>
    <col min="77" max="77" width="5.28515625" customWidth="1"/>
    <col min="78" max="78" width="11" bestFit="1" customWidth="1"/>
    <col min="79" max="79" width="20.28515625" bestFit="1" customWidth="1"/>
    <col min="80" max="80" width="7" customWidth="1"/>
    <col min="81" max="81" width="15.7109375" bestFit="1" customWidth="1"/>
    <col min="82" max="82" width="10.28515625" bestFit="1" customWidth="1"/>
    <col min="83" max="83" width="21.28515625" bestFit="1" customWidth="1"/>
    <col min="84" max="84" width="11.7109375" bestFit="1" customWidth="1"/>
    <col min="85" max="85" width="15.7109375" bestFit="1" customWidth="1"/>
    <col min="86" max="86" width="11.85546875" bestFit="1" customWidth="1"/>
    <col min="87" max="87" width="15.7109375" bestFit="1" customWidth="1"/>
    <col min="88" max="88" width="13.85546875" bestFit="1" customWidth="1"/>
  </cols>
  <sheetData>
    <row r="1" spans="1:88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73"/>
      <c r="Z1" s="73"/>
      <c r="AA1" s="73"/>
      <c r="AB1" s="73"/>
      <c r="AC1" s="73"/>
      <c r="AD1" s="73"/>
      <c r="AE1" s="69"/>
      <c r="AF1" s="73"/>
      <c r="AG1" s="69"/>
      <c r="AH1" s="69"/>
      <c r="AI1" s="69"/>
      <c r="AJ1" s="73"/>
      <c r="AK1" s="73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</row>
    <row r="2" spans="1:88" x14ac:dyDescent="0.25">
      <c r="U2" s="14"/>
      <c r="V2" s="14"/>
      <c r="W2" s="14"/>
      <c r="X2" s="14"/>
      <c r="Y2" s="14"/>
      <c r="AB2" s="14"/>
      <c r="AE2" s="14"/>
      <c r="AG2" s="14"/>
      <c r="AH2" s="14"/>
      <c r="AI2" s="14"/>
      <c r="AQ2" s="14"/>
      <c r="AU2" s="14"/>
      <c r="AW2" s="14"/>
      <c r="BJ2" s="14"/>
      <c r="BN2" s="14"/>
      <c r="BP2" s="14"/>
      <c r="CC2" s="14"/>
      <c r="CG2" s="14"/>
      <c r="CI2" s="14"/>
    </row>
    <row r="3" spans="1:88" x14ac:dyDescent="0.25">
      <c r="U3" s="14"/>
      <c r="V3" s="14"/>
      <c r="W3" s="14"/>
      <c r="X3" s="14"/>
      <c r="Y3" s="14"/>
      <c r="AB3" s="14"/>
      <c r="AE3" s="14"/>
      <c r="AG3" s="14"/>
      <c r="AH3" s="14"/>
      <c r="AI3" s="14"/>
      <c r="AQ3" s="14"/>
      <c r="AU3" s="14"/>
      <c r="AW3" s="14"/>
      <c r="BJ3" s="14"/>
      <c r="BN3" s="14"/>
      <c r="BP3" s="14"/>
      <c r="CC3" s="14"/>
      <c r="CG3" s="14"/>
      <c r="CI3" s="14"/>
    </row>
    <row r="4" spans="1:88" x14ac:dyDescent="0.25">
      <c r="U4" s="14"/>
      <c r="V4" s="14"/>
      <c r="W4" s="14"/>
      <c r="X4" s="14"/>
      <c r="Y4" s="14"/>
      <c r="AB4" s="14"/>
      <c r="AE4" s="14"/>
      <c r="AG4" s="14"/>
      <c r="AH4" s="14"/>
      <c r="AI4" s="14"/>
      <c r="AQ4" s="14"/>
      <c r="AU4" s="14"/>
      <c r="AW4" s="14"/>
      <c r="BJ4" s="14"/>
      <c r="BN4" s="14"/>
      <c r="BP4" s="14"/>
      <c r="CC4" s="14"/>
      <c r="CG4" s="14"/>
      <c r="CI4" s="14"/>
    </row>
    <row r="5" spans="1:88" x14ac:dyDescent="0.25">
      <c r="U5" s="14"/>
      <c r="V5" s="14"/>
      <c r="W5" s="14"/>
      <c r="X5" s="14"/>
      <c r="Y5" s="14"/>
      <c r="AB5" s="14"/>
      <c r="AE5" s="14"/>
      <c r="AG5" s="14"/>
      <c r="AH5" s="14"/>
      <c r="AI5" s="14"/>
      <c r="AQ5" s="14"/>
      <c r="AU5" s="14"/>
      <c r="AW5" s="14"/>
      <c r="BJ5" s="14"/>
      <c r="BN5" s="14"/>
      <c r="BP5" s="14"/>
      <c r="CC5" s="14"/>
      <c r="CG5" s="14"/>
      <c r="CI5" s="14"/>
    </row>
    <row r="6" spans="1:88" x14ac:dyDescent="0.25">
      <c r="U6" s="14"/>
      <c r="V6" s="14"/>
      <c r="W6" s="14"/>
      <c r="X6" s="14"/>
      <c r="Y6" s="14"/>
      <c r="AB6" s="14"/>
      <c r="AE6" s="14"/>
      <c r="AG6" s="14"/>
      <c r="AH6" s="14"/>
      <c r="AI6" s="14"/>
      <c r="AQ6" s="14"/>
      <c r="AU6" s="14"/>
      <c r="AW6" s="14"/>
      <c r="BJ6" s="14"/>
      <c r="BN6" s="14"/>
      <c r="BP6" s="14"/>
      <c r="CC6" s="14"/>
      <c r="CG6" s="14"/>
      <c r="CI6" s="14"/>
    </row>
    <row r="7" spans="1:88" x14ac:dyDescent="0.25">
      <c r="U7" s="14"/>
      <c r="V7" s="14"/>
      <c r="W7" s="14"/>
      <c r="X7" s="14"/>
      <c r="Y7" s="14"/>
      <c r="AB7" s="14"/>
      <c r="AE7" s="14"/>
      <c r="AG7" s="14"/>
      <c r="AH7" s="14"/>
      <c r="AI7" s="14"/>
      <c r="AQ7" s="14"/>
      <c r="AU7" s="14"/>
      <c r="AW7" s="14"/>
      <c r="BJ7" s="14"/>
      <c r="BN7" s="14"/>
      <c r="BP7" s="14"/>
      <c r="CC7" s="14"/>
      <c r="CG7" s="14"/>
      <c r="CI7" s="14"/>
    </row>
    <row r="8" spans="1:88" x14ac:dyDescent="0.25">
      <c r="U8" s="14"/>
      <c r="V8" s="14"/>
      <c r="W8" s="14"/>
      <c r="X8" s="14"/>
      <c r="Y8" s="14"/>
      <c r="AB8" s="14"/>
      <c r="AE8" s="14"/>
      <c r="AG8" s="14"/>
      <c r="AH8" s="14"/>
      <c r="AI8" s="14"/>
      <c r="AQ8" s="14"/>
      <c r="AU8" s="14"/>
      <c r="AW8" s="14"/>
      <c r="BJ8" s="14"/>
      <c r="BN8" s="14"/>
      <c r="BP8" s="14"/>
      <c r="CC8" s="14"/>
      <c r="CG8" s="14"/>
      <c r="CI8" s="14"/>
    </row>
    <row r="9" spans="1:88" x14ac:dyDescent="0.25">
      <c r="U9" s="14"/>
      <c r="V9" s="14"/>
      <c r="W9" s="14"/>
      <c r="X9" s="14"/>
      <c r="Y9" s="14"/>
      <c r="AB9" s="14"/>
      <c r="AE9" s="14"/>
      <c r="AG9" s="14"/>
      <c r="AH9" s="14"/>
      <c r="AI9" s="14"/>
      <c r="AQ9" s="14"/>
      <c r="AU9" s="14"/>
      <c r="AW9" s="14"/>
      <c r="BJ9" s="14"/>
      <c r="BN9" s="14"/>
      <c r="BP9" s="14"/>
      <c r="CC9" s="14"/>
      <c r="CG9" s="14"/>
      <c r="CI9" s="14"/>
    </row>
    <row r="10" spans="1:88" x14ac:dyDescent="0.25">
      <c r="U10" s="14"/>
      <c r="V10" s="14"/>
      <c r="W10" s="14"/>
      <c r="X10" s="14"/>
      <c r="Y10" s="14"/>
      <c r="AB10" s="14"/>
      <c r="AE10" s="14"/>
      <c r="AG10" s="14"/>
      <c r="AH10" s="14"/>
      <c r="AI10" s="14"/>
      <c r="AQ10" s="14"/>
      <c r="AU10" s="14"/>
      <c r="AW10" s="14"/>
      <c r="BJ10" s="14"/>
      <c r="BN10" s="14"/>
      <c r="BP10" s="14"/>
      <c r="CC10" s="14"/>
      <c r="CG10" s="14"/>
      <c r="CI10" s="14"/>
    </row>
    <row r="11" spans="1:88" x14ac:dyDescent="0.25">
      <c r="U11" s="14"/>
      <c r="V11" s="14"/>
      <c r="W11" s="14"/>
      <c r="X11" s="14"/>
      <c r="Y11" s="14"/>
      <c r="AB11" s="14"/>
      <c r="AE11" s="14"/>
      <c r="AG11" s="14"/>
      <c r="AH11" s="14"/>
      <c r="AI11" s="14"/>
      <c r="AQ11" s="14"/>
      <c r="AU11" s="14"/>
      <c r="AW11" s="14"/>
      <c r="BJ11" s="14"/>
      <c r="BN11" s="14"/>
      <c r="BP11" s="14"/>
      <c r="CC11" s="14"/>
      <c r="CG11" s="14"/>
      <c r="CI11" s="14"/>
    </row>
    <row r="12" spans="1:88" x14ac:dyDescent="0.25">
      <c r="U12" s="14"/>
      <c r="V12" s="14"/>
      <c r="W12" s="14"/>
      <c r="X12" s="14"/>
      <c r="Y12" s="14"/>
      <c r="AB12" s="14"/>
      <c r="AE12" s="14"/>
      <c r="AG12" s="14"/>
      <c r="AH12" s="14"/>
      <c r="AI12" s="14"/>
      <c r="AQ12" s="14"/>
      <c r="AU12" s="14"/>
      <c r="AW12" s="14"/>
      <c r="BJ12" s="14"/>
      <c r="BN12" s="14"/>
      <c r="BP12" s="14"/>
      <c r="CC12" s="14"/>
      <c r="CG12" s="14"/>
      <c r="CI12" s="14"/>
    </row>
    <row r="13" spans="1:88" x14ac:dyDescent="0.25">
      <c r="U13" s="14"/>
      <c r="V13" s="14"/>
      <c r="W13" s="14"/>
      <c r="X13" s="14"/>
      <c r="Y13" s="14"/>
      <c r="AB13" s="14"/>
      <c r="AE13" s="14"/>
      <c r="AG13" s="14"/>
      <c r="AH13" s="14"/>
      <c r="AI13" s="14"/>
      <c r="AQ13" s="14"/>
      <c r="AU13" s="14"/>
      <c r="AW13" s="14"/>
      <c r="BJ13" s="14"/>
      <c r="BN13" s="14"/>
      <c r="BP13" s="14"/>
      <c r="CC13" s="14"/>
      <c r="CG13" s="14"/>
      <c r="CI13" s="14"/>
    </row>
    <row r="14" spans="1:88" x14ac:dyDescent="0.25">
      <c r="U14" s="14"/>
      <c r="V14" s="14"/>
      <c r="W14" s="14"/>
      <c r="X14" s="14"/>
      <c r="Y14" s="14"/>
      <c r="AB14" s="14"/>
      <c r="AE14" s="14"/>
      <c r="AG14" s="14"/>
      <c r="AI14" s="14"/>
      <c r="AQ14" s="14"/>
      <c r="AU14" s="14"/>
      <c r="AW14" s="14"/>
      <c r="BJ14" s="14"/>
      <c r="BN14" s="14"/>
      <c r="BP14" s="14"/>
      <c r="CC14" s="14"/>
      <c r="CG14" s="14"/>
      <c r="CI14" s="14"/>
    </row>
    <row r="15" spans="1:88" x14ac:dyDescent="0.25">
      <c r="U15" s="14"/>
      <c r="V15" s="14"/>
      <c r="W15" s="14"/>
      <c r="X15" s="14"/>
      <c r="Y15" s="14"/>
      <c r="AB15" s="14"/>
      <c r="AE15" s="14"/>
      <c r="AG15" s="14"/>
      <c r="AI15" s="14"/>
      <c r="AQ15" s="14"/>
      <c r="AU15" s="14"/>
      <c r="AW15" s="14"/>
      <c r="BJ15" s="14"/>
      <c r="BN15" s="14"/>
      <c r="BP15" s="14"/>
      <c r="CC15" s="14"/>
      <c r="CG15" s="14"/>
      <c r="CI15" s="14"/>
    </row>
    <row r="16" spans="1:88" x14ac:dyDescent="0.25">
      <c r="U16" s="14"/>
      <c r="V16" s="14"/>
      <c r="W16" s="14"/>
      <c r="X16" s="14"/>
      <c r="Y16" s="14"/>
      <c r="AB16" s="14"/>
      <c r="AE16" s="14"/>
      <c r="AG16" s="14"/>
      <c r="AI16" s="14"/>
      <c r="AQ16" s="14"/>
      <c r="AU16" s="14"/>
      <c r="AW16" s="14"/>
      <c r="BJ16" s="14"/>
      <c r="BN16" s="14"/>
      <c r="BP16" s="14"/>
      <c r="CC16" s="14"/>
      <c r="CG16" s="14"/>
      <c r="CI16" s="14"/>
    </row>
    <row r="17" spans="21:87" x14ac:dyDescent="0.25">
      <c r="U17" s="14"/>
      <c r="V17" s="14"/>
      <c r="W17" s="14"/>
      <c r="X17" s="14"/>
      <c r="Y17" s="14"/>
      <c r="AB17" s="14"/>
      <c r="AE17" s="14"/>
      <c r="AG17" s="14"/>
      <c r="AI17" s="14"/>
      <c r="AQ17" s="14"/>
      <c r="AU17" s="14"/>
      <c r="AW17" s="14"/>
      <c r="BJ17" s="14"/>
      <c r="BN17" s="14"/>
      <c r="BP17" s="14"/>
      <c r="CC17" s="14"/>
      <c r="CG17" s="14"/>
      <c r="CI17" s="14"/>
    </row>
    <row r="18" spans="21:87" x14ac:dyDescent="0.25">
      <c r="U18" s="14"/>
      <c r="V18" s="14"/>
      <c r="W18" s="14"/>
      <c r="X18" s="14"/>
      <c r="Y18" s="14"/>
      <c r="AB18" s="14"/>
      <c r="AE18" s="14"/>
      <c r="AG18" s="14"/>
      <c r="AI18" s="14"/>
      <c r="AQ18" s="14"/>
      <c r="AU18" s="14"/>
      <c r="AW18" s="14"/>
      <c r="BJ18" s="14"/>
      <c r="BN18" s="14"/>
      <c r="BP18" s="14"/>
      <c r="CC18" s="14"/>
      <c r="CG18" s="14"/>
      <c r="CI18" s="14"/>
    </row>
    <row r="19" spans="21:87" x14ac:dyDescent="0.25">
      <c r="U19" s="14"/>
      <c r="V19" s="14"/>
      <c r="W19" s="14"/>
      <c r="X19" s="14"/>
      <c r="Y19" s="14"/>
      <c r="AB19" s="14"/>
      <c r="AE19" s="14"/>
      <c r="AG19" s="14"/>
      <c r="AI19" s="14"/>
      <c r="AQ19" s="14"/>
      <c r="AU19" s="14"/>
      <c r="AW19" s="14"/>
      <c r="BJ19" s="14"/>
      <c r="BN19" s="14"/>
      <c r="BP19" s="14"/>
      <c r="CC19" s="14"/>
      <c r="CG19" s="14"/>
      <c r="CI19" s="14"/>
    </row>
    <row r="20" spans="21:87" x14ac:dyDescent="0.25">
      <c r="U20" s="14"/>
      <c r="V20" s="14"/>
      <c r="W20" s="14"/>
      <c r="X20" s="14"/>
      <c r="Y20" s="14"/>
      <c r="AB20" s="14"/>
      <c r="AE20" s="14"/>
      <c r="AG20" s="14"/>
      <c r="AI20" s="14"/>
      <c r="AQ20" s="14"/>
      <c r="AU20" s="14"/>
      <c r="AW20" s="14"/>
      <c r="BJ20" s="14"/>
      <c r="BN20" s="14"/>
      <c r="BP20" s="14"/>
      <c r="CC20" s="14"/>
      <c r="CG20" s="14"/>
      <c r="CI20" s="14"/>
    </row>
    <row r="21" spans="21:87" x14ac:dyDescent="0.25">
      <c r="U21" s="14"/>
      <c r="V21" s="14"/>
      <c r="W21" s="14"/>
      <c r="X21" s="14"/>
      <c r="Y21" s="14"/>
      <c r="AB21" s="14"/>
      <c r="AE21" s="14"/>
      <c r="AG21" s="14"/>
      <c r="AI21" s="14"/>
      <c r="AQ21" s="14"/>
      <c r="AU21" s="14"/>
      <c r="AW21" s="14"/>
      <c r="BJ21" s="14"/>
      <c r="BN21" s="14"/>
      <c r="BP21" s="14"/>
      <c r="CC21" s="14"/>
      <c r="CG21" s="14"/>
      <c r="CI21" s="14"/>
    </row>
    <row r="22" spans="21:87" x14ac:dyDescent="0.25">
      <c r="U22" s="14"/>
      <c r="V22" s="14"/>
      <c r="W22" s="14"/>
      <c r="X22" s="14"/>
      <c r="Y22" s="14"/>
      <c r="AB22" s="14"/>
      <c r="AE22" s="14"/>
      <c r="AI22" s="14"/>
      <c r="BJ22" s="14"/>
      <c r="BN22" s="14"/>
      <c r="BP22" s="14"/>
      <c r="CC22" s="14"/>
      <c r="CG22" s="14"/>
      <c r="CI22" s="14"/>
    </row>
    <row r="23" spans="21:87" x14ac:dyDescent="0.25">
      <c r="U23" s="14"/>
      <c r="V23" s="14"/>
      <c r="W23" s="14"/>
      <c r="X23" s="14"/>
      <c r="Y23" s="14"/>
      <c r="AB23" s="14"/>
      <c r="AE23" s="14"/>
      <c r="AI23" s="14"/>
      <c r="BJ23" s="14"/>
      <c r="BN23" s="14"/>
      <c r="BP23" s="14"/>
      <c r="CC23" s="14"/>
      <c r="CG23" s="14"/>
      <c r="CI23" s="14"/>
    </row>
    <row r="24" spans="21:87" x14ac:dyDescent="0.25">
      <c r="U24" s="14"/>
      <c r="V24" s="14"/>
      <c r="W24" s="14"/>
      <c r="X24" s="14"/>
      <c r="Y24" s="14"/>
      <c r="AB24" s="14"/>
      <c r="AE24" s="14"/>
      <c r="AI24" s="14"/>
      <c r="BJ24" s="14"/>
      <c r="BN24" s="14"/>
      <c r="BP24" s="14"/>
      <c r="CC24" s="14"/>
      <c r="CG24" s="14"/>
      <c r="CI24" s="14"/>
    </row>
    <row r="25" spans="21:87" x14ac:dyDescent="0.25">
      <c r="U25" s="14"/>
      <c r="V25" s="14"/>
      <c r="W25" s="14"/>
      <c r="X25" s="14"/>
      <c r="Y25" s="14"/>
      <c r="AB25" s="14"/>
      <c r="AE25" s="14"/>
      <c r="AI25" s="14"/>
      <c r="BJ25" s="14"/>
      <c r="BN25" s="14"/>
      <c r="BP25" s="14"/>
      <c r="CC25" s="14"/>
      <c r="CG25" s="14"/>
      <c r="CI25" s="14"/>
    </row>
    <row r="26" spans="21:87" x14ac:dyDescent="0.25">
      <c r="U26" s="14"/>
      <c r="V26" s="14"/>
      <c r="W26" s="14"/>
      <c r="X26" s="14"/>
      <c r="Y26" s="14"/>
      <c r="AB26" s="14"/>
      <c r="AE26" s="14"/>
      <c r="AI26" s="14"/>
      <c r="BJ26" s="14"/>
      <c r="BN26" s="14"/>
      <c r="BP26" s="14"/>
      <c r="CC26" s="14"/>
      <c r="CG26" s="14"/>
      <c r="CI26" s="14"/>
    </row>
    <row r="27" spans="21:87" x14ac:dyDescent="0.25">
      <c r="U27" s="14"/>
      <c r="V27" s="14"/>
      <c r="W27" s="14"/>
      <c r="X27" s="14"/>
      <c r="Y27" s="14"/>
      <c r="AB27" s="14"/>
      <c r="AE27" s="14"/>
      <c r="AI27" s="14"/>
      <c r="BJ27" s="14"/>
      <c r="BN27" s="14"/>
      <c r="BP27" s="14"/>
      <c r="CC27" s="14"/>
      <c r="CG27" s="14"/>
      <c r="CI27" s="14"/>
    </row>
    <row r="28" spans="21:87" x14ac:dyDescent="0.25">
      <c r="U28" s="14"/>
      <c r="V28" s="14"/>
      <c r="W28" s="14"/>
      <c r="X28" s="14"/>
      <c r="Y28" s="14"/>
      <c r="AB28" s="14"/>
      <c r="AE28" s="14"/>
      <c r="AI28" s="14"/>
      <c r="BJ28" s="14"/>
      <c r="BN28" s="14"/>
      <c r="BP28" s="14"/>
      <c r="CC28" s="14"/>
      <c r="CG28" s="14"/>
      <c r="CI28" s="14"/>
    </row>
    <row r="29" spans="21:87" x14ac:dyDescent="0.25">
      <c r="U29" s="14"/>
      <c r="V29" s="14"/>
      <c r="W29" s="14"/>
      <c r="X29" s="14"/>
      <c r="Y29" s="14"/>
      <c r="AB29" s="14"/>
      <c r="AE29" s="14"/>
      <c r="AI29" s="14"/>
      <c r="BJ29" s="14"/>
      <c r="BN29" s="14"/>
      <c r="BP29" s="14"/>
      <c r="CC29" s="14"/>
      <c r="CG29" s="14"/>
      <c r="CI29" s="14"/>
    </row>
    <row r="30" spans="21:87" x14ac:dyDescent="0.25">
      <c r="U30" s="14"/>
      <c r="V30" s="14"/>
      <c r="W30" s="14"/>
      <c r="X30" s="14"/>
      <c r="Y30" s="14"/>
      <c r="AB30" s="14"/>
      <c r="AE30" s="14"/>
      <c r="AI30" s="14"/>
      <c r="BJ30" s="14"/>
      <c r="BN30" s="14"/>
      <c r="BP30" s="14"/>
      <c r="CC30" s="14"/>
      <c r="CG30" s="14"/>
      <c r="CI30" s="14"/>
    </row>
    <row r="31" spans="21:87" x14ac:dyDescent="0.25">
      <c r="U31" s="14"/>
      <c r="V31" s="14"/>
      <c r="W31" s="14"/>
      <c r="X31" s="14"/>
      <c r="Y31" s="14"/>
      <c r="AB31" s="14"/>
      <c r="AE31" s="14"/>
      <c r="AI31" s="14"/>
      <c r="BJ31" s="14"/>
      <c r="BN31" s="14"/>
      <c r="BP31" s="14"/>
      <c r="CC31" s="14"/>
      <c r="CG31" s="14"/>
      <c r="CI31" s="14"/>
    </row>
    <row r="32" spans="21:87" x14ac:dyDescent="0.25">
      <c r="U32" s="14"/>
      <c r="V32" s="14"/>
      <c r="W32" s="14"/>
      <c r="X32" s="14"/>
      <c r="Y32" s="14"/>
      <c r="AB32" s="14"/>
      <c r="AE32" s="14"/>
      <c r="AI32" s="14"/>
    </row>
    <row r="33" spans="21:35" x14ac:dyDescent="0.25">
      <c r="U33" s="14"/>
      <c r="V33" s="14"/>
      <c r="W33" s="14"/>
      <c r="X33" s="14"/>
      <c r="Y33" s="14"/>
      <c r="AB33" s="14"/>
      <c r="AE33" s="14"/>
      <c r="AI33" s="14"/>
    </row>
    <row r="34" spans="21:35" x14ac:dyDescent="0.25">
      <c r="U34" s="14"/>
      <c r="V34" s="14"/>
      <c r="W34" s="14"/>
      <c r="X34" s="14"/>
      <c r="Y34" s="14"/>
      <c r="AB34" s="14"/>
      <c r="AE34" s="14"/>
      <c r="AI34" s="14"/>
    </row>
    <row r="35" spans="21:35" x14ac:dyDescent="0.25">
      <c r="U35" s="14"/>
      <c r="V35" s="14"/>
      <c r="W35" s="14"/>
      <c r="X35" s="14"/>
      <c r="Y35" s="14"/>
      <c r="AB35" s="14"/>
      <c r="AE35" s="14"/>
      <c r="AI35" s="14"/>
    </row>
    <row r="36" spans="21:35" x14ac:dyDescent="0.25">
      <c r="U36" s="14"/>
      <c r="V36" s="14"/>
      <c r="W36" s="14"/>
      <c r="X36" s="14"/>
      <c r="Y36" s="14"/>
      <c r="AB36" s="14"/>
      <c r="AE36" s="14"/>
      <c r="AI36" s="14"/>
    </row>
    <row r="37" spans="21:35" x14ac:dyDescent="0.25">
      <c r="V37" s="14"/>
      <c r="X37" s="14"/>
      <c r="AE37" s="14"/>
      <c r="AI37" s="14"/>
    </row>
    <row r="38" spans="21:35" x14ac:dyDescent="0.25">
      <c r="V38" s="14"/>
      <c r="X38" s="14"/>
      <c r="AE38" s="14"/>
      <c r="AI38" s="14"/>
    </row>
    <row r="39" spans="21:35" x14ac:dyDescent="0.25">
      <c r="V39" s="14"/>
      <c r="X39" s="14"/>
      <c r="AE39" s="14"/>
      <c r="AI39" s="14"/>
    </row>
    <row r="40" spans="21:35" x14ac:dyDescent="0.25">
      <c r="V40" s="14"/>
      <c r="X40" s="14"/>
      <c r="AE40" s="14"/>
      <c r="AI40" s="14"/>
    </row>
    <row r="41" spans="21:35" x14ac:dyDescent="0.25">
      <c r="V41" s="14"/>
      <c r="X41" s="14"/>
      <c r="AE41" s="14"/>
      <c r="AI41" s="14"/>
    </row>
    <row r="42" spans="21:35" x14ac:dyDescent="0.25">
      <c r="V42" s="14"/>
      <c r="X42" s="14"/>
      <c r="AE42" s="14"/>
      <c r="AI42" s="14"/>
    </row>
    <row r="43" spans="21:35" x14ac:dyDescent="0.25">
      <c r="V43" s="14"/>
      <c r="X43" s="14"/>
      <c r="AE43" s="14"/>
      <c r="AI43" s="14"/>
    </row>
    <row r="44" spans="21:35" x14ac:dyDescent="0.25">
      <c r="V44" s="14"/>
      <c r="X44" s="14"/>
      <c r="AE44" s="14"/>
      <c r="AI44" s="14"/>
    </row>
    <row r="45" spans="21:35" x14ac:dyDescent="0.25">
      <c r="V45" s="14"/>
      <c r="X45" s="14"/>
      <c r="AE45" s="14"/>
      <c r="AI45" s="14"/>
    </row>
    <row r="46" spans="21:35" x14ac:dyDescent="0.25">
      <c r="V46" s="14"/>
      <c r="X46" s="14"/>
      <c r="AE46" s="14"/>
      <c r="AI46" s="14"/>
    </row>
    <row r="47" spans="21:35" x14ac:dyDescent="0.25">
      <c r="V47" s="14"/>
      <c r="X47" s="14"/>
      <c r="AE47" s="14"/>
      <c r="AI47" s="14"/>
    </row>
    <row r="48" spans="21:35" x14ac:dyDescent="0.25">
      <c r="V48" s="14"/>
      <c r="X48" s="14"/>
      <c r="AE48" s="14"/>
      <c r="AI48" s="14"/>
    </row>
    <row r="49" spans="22:35" x14ac:dyDescent="0.25">
      <c r="V49" s="14"/>
      <c r="X49" s="14"/>
      <c r="AE49" s="14"/>
      <c r="AI49" s="14"/>
    </row>
    <row r="50" spans="22:35" x14ac:dyDescent="0.25">
      <c r="V50" s="14"/>
      <c r="X50" s="14"/>
      <c r="AE50" s="14"/>
      <c r="AI50" s="14"/>
    </row>
    <row r="51" spans="22:35" x14ac:dyDescent="0.25">
      <c r="V51" s="14"/>
      <c r="X51" s="14"/>
      <c r="AE51" s="14"/>
      <c r="AI51" s="14"/>
    </row>
    <row r="52" spans="22:35" x14ac:dyDescent="0.25">
      <c r="V52" s="14"/>
      <c r="X52" s="14"/>
      <c r="AE52" s="14"/>
      <c r="AI52" s="14"/>
    </row>
    <row r="53" spans="22:35" x14ac:dyDescent="0.25">
      <c r="V53" s="14"/>
      <c r="X53" s="14"/>
      <c r="AE53" s="14"/>
      <c r="AI53" s="14"/>
    </row>
    <row r="54" spans="22:35" x14ac:dyDescent="0.25">
      <c r="V54" s="14"/>
      <c r="X54" s="14"/>
      <c r="AE54" s="14"/>
      <c r="AI54" s="14"/>
    </row>
    <row r="55" spans="22:35" x14ac:dyDescent="0.25">
      <c r="V55" s="14"/>
      <c r="X55" s="14"/>
      <c r="AE55" s="14"/>
      <c r="AI55" s="14"/>
    </row>
    <row r="56" spans="22:35" x14ac:dyDescent="0.25">
      <c r="V56" s="14"/>
      <c r="X56" s="14"/>
      <c r="AE56" s="14"/>
      <c r="AI56" s="14"/>
    </row>
    <row r="57" spans="22:35" x14ac:dyDescent="0.25">
      <c r="V57" s="14"/>
      <c r="X57" s="14"/>
      <c r="AE57" s="14"/>
      <c r="AI57" s="14"/>
    </row>
    <row r="58" spans="22:35" x14ac:dyDescent="0.25">
      <c r="V58" s="14"/>
      <c r="X58" s="14"/>
      <c r="AE58" s="14"/>
      <c r="AI58" s="14"/>
    </row>
    <row r="59" spans="22:35" x14ac:dyDescent="0.25">
      <c r="V59" s="14"/>
      <c r="X59" s="14"/>
      <c r="AE59" s="14"/>
      <c r="AI59" s="14"/>
    </row>
    <row r="60" spans="22:35" x14ac:dyDescent="0.25">
      <c r="V60" s="14"/>
      <c r="X60" s="14"/>
      <c r="AE60" s="14"/>
      <c r="AI60" s="14"/>
    </row>
    <row r="61" spans="22:35" x14ac:dyDescent="0.25">
      <c r="V61" s="14"/>
      <c r="X61" s="14"/>
      <c r="AE61" s="14"/>
      <c r="AI61" s="14"/>
    </row>
    <row r="62" spans="22:35" x14ac:dyDescent="0.25">
      <c r="V62" s="14"/>
      <c r="X62" s="14"/>
      <c r="AE62" s="14"/>
      <c r="AI62" s="14"/>
    </row>
    <row r="63" spans="22:35" x14ac:dyDescent="0.25">
      <c r="V63" s="14"/>
      <c r="X63" s="14"/>
      <c r="AE63" s="14"/>
      <c r="AI63" s="14"/>
    </row>
    <row r="64" spans="22:35" x14ac:dyDescent="0.25">
      <c r="V64" s="14"/>
      <c r="X64" s="14"/>
      <c r="AE64" s="14"/>
      <c r="AI64" s="14"/>
    </row>
    <row r="65" spans="22:35" x14ac:dyDescent="0.25">
      <c r="V65" s="14"/>
      <c r="X65" s="14"/>
      <c r="AE65" s="14"/>
      <c r="AI65" s="14"/>
    </row>
    <row r="66" spans="22:35" x14ac:dyDescent="0.25">
      <c r="V66" s="14"/>
      <c r="X66" s="14"/>
      <c r="AE66" s="14"/>
      <c r="AI66" s="14"/>
    </row>
    <row r="67" spans="22:35" x14ac:dyDescent="0.25">
      <c r="V67" s="14"/>
      <c r="X67" s="14"/>
      <c r="AE67" s="14"/>
      <c r="AI67" s="14"/>
    </row>
    <row r="68" spans="22:35" x14ac:dyDescent="0.25">
      <c r="V68" s="14"/>
      <c r="X68" s="14"/>
      <c r="AE68" s="14"/>
      <c r="AI68" s="14"/>
    </row>
    <row r="69" spans="22:35" x14ac:dyDescent="0.25">
      <c r="V69" s="14"/>
      <c r="X69" s="14"/>
      <c r="AE69" s="14"/>
      <c r="AI69" s="14"/>
    </row>
    <row r="70" spans="22:35" x14ac:dyDescent="0.25">
      <c r="V70" s="14"/>
      <c r="X70" s="14"/>
      <c r="AE70" s="14"/>
      <c r="AI70" s="14"/>
    </row>
    <row r="71" spans="22:35" x14ac:dyDescent="0.25">
      <c r="V71" s="14"/>
      <c r="X71" s="14"/>
      <c r="AE71" s="14"/>
      <c r="AI71" s="14"/>
    </row>
    <row r="72" spans="22:35" x14ac:dyDescent="0.25">
      <c r="V72" s="14"/>
      <c r="X72" s="14"/>
      <c r="AE72" s="14"/>
      <c r="AI72" s="14"/>
    </row>
    <row r="73" spans="22:35" x14ac:dyDescent="0.25">
      <c r="V73" s="14"/>
      <c r="X73" s="14"/>
      <c r="AE73" s="14"/>
      <c r="AI73" s="14"/>
    </row>
    <row r="74" spans="22:35" x14ac:dyDescent="0.25">
      <c r="V74" s="14"/>
      <c r="X74" s="14"/>
      <c r="AE74" s="14"/>
      <c r="AI74" s="14"/>
    </row>
    <row r="75" spans="22:35" x14ac:dyDescent="0.25">
      <c r="V75" s="14"/>
      <c r="X75" s="14"/>
      <c r="AE75" s="14"/>
      <c r="AI75" s="14"/>
    </row>
    <row r="76" spans="22:35" x14ac:dyDescent="0.25">
      <c r="V76" s="14"/>
      <c r="X76" s="14"/>
      <c r="AE76" s="14"/>
      <c r="AI76" s="14"/>
    </row>
    <row r="77" spans="22:35" x14ac:dyDescent="0.25">
      <c r="V77" s="14"/>
      <c r="X77" s="14"/>
      <c r="AE77" s="14"/>
      <c r="AI77" s="14"/>
    </row>
    <row r="78" spans="22:35" x14ac:dyDescent="0.25">
      <c r="V78" s="14"/>
      <c r="X78" s="14"/>
      <c r="AE78" s="14"/>
      <c r="AI78" s="14"/>
    </row>
    <row r="79" spans="22:35" x14ac:dyDescent="0.25">
      <c r="V79" s="14"/>
      <c r="X79" s="14"/>
      <c r="AE79" s="14"/>
      <c r="AI79" s="14"/>
    </row>
    <row r="80" spans="22:35" x14ac:dyDescent="0.25">
      <c r="V80" s="14"/>
      <c r="X80" s="14"/>
      <c r="AE80" s="14"/>
      <c r="AI80" s="14"/>
    </row>
    <row r="81" spans="22:35" x14ac:dyDescent="0.25">
      <c r="V81" s="14"/>
      <c r="X81" s="14"/>
      <c r="AE81" s="14"/>
      <c r="AI81" s="14"/>
    </row>
    <row r="82" spans="22:35" x14ac:dyDescent="0.25">
      <c r="V82" s="14"/>
      <c r="X82" s="14"/>
      <c r="AE82" s="14"/>
      <c r="AI82" s="14"/>
    </row>
    <row r="83" spans="22:35" x14ac:dyDescent="0.25">
      <c r="V83" s="14"/>
      <c r="X83" s="14"/>
      <c r="AE83" s="14"/>
      <c r="AI83" s="14"/>
    </row>
    <row r="84" spans="22:35" x14ac:dyDescent="0.25">
      <c r="V84" s="14"/>
      <c r="X84" s="14"/>
      <c r="AE84" s="14"/>
      <c r="AI84" s="14"/>
    </row>
    <row r="85" spans="22:35" x14ac:dyDescent="0.25">
      <c r="V85" s="14"/>
      <c r="X85" s="14"/>
      <c r="AE85" s="14"/>
      <c r="AI85" s="14"/>
    </row>
    <row r="86" spans="22:35" x14ac:dyDescent="0.25">
      <c r="V86" s="14"/>
      <c r="X86" s="14"/>
      <c r="AE86" s="14"/>
      <c r="AI86" s="14"/>
    </row>
    <row r="87" spans="22:35" x14ac:dyDescent="0.25">
      <c r="V87" s="14"/>
      <c r="X87" s="14"/>
      <c r="AE87" s="14"/>
      <c r="AI87" s="14"/>
    </row>
    <row r="88" spans="22:35" x14ac:dyDescent="0.25">
      <c r="V88" s="14"/>
      <c r="X88" s="14"/>
      <c r="AE88" s="14"/>
      <c r="AI88" s="14"/>
    </row>
    <row r="89" spans="22:35" x14ac:dyDescent="0.25">
      <c r="V89" s="14"/>
      <c r="X89" s="14"/>
      <c r="AE89" s="14"/>
      <c r="AI89" s="14"/>
    </row>
    <row r="90" spans="22:35" x14ac:dyDescent="0.25">
      <c r="V90" s="14"/>
      <c r="X90" s="14"/>
      <c r="AE90" s="14"/>
      <c r="AI90" s="14"/>
    </row>
    <row r="91" spans="22:35" x14ac:dyDescent="0.25">
      <c r="V91" s="14"/>
      <c r="X91" s="14"/>
      <c r="AE91" s="14"/>
      <c r="AI91" s="14"/>
    </row>
    <row r="92" spans="22:35" x14ac:dyDescent="0.25">
      <c r="V92" s="14"/>
      <c r="X92" s="14"/>
      <c r="AE92" s="14"/>
      <c r="AI92" s="14"/>
    </row>
    <row r="93" spans="22:35" x14ac:dyDescent="0.25">
      <c r="V93" s="14"/>
      <c r="X93" s="14"/>
      <c r="AE93" s="14"/>
      <c r="AI93" s="14"/>
    </row>
    <row r="94" spans="22:35" x14ac:dyDescent="0.25">
      <c r="V94" s="14"/>
      <c r="X94" s="14"/>
      <c r="AE94" s="14"/>
      <c r="AI94" s="14"/>
    </row>
    <row r="95" spans="22:35" x14ac:dyDescent="0.25">
      <c r="V95" s="14"/>
      <c r="X95" s="14"/>
      <c r="AE95" s="14"/>
      <c r="AI95" s="14"/>
    </row>
    <row r="96" spans="22:35" x14ac:dyDescent="0.25">
      <c r="V96" s="14"/>
      <c r="X96" s="14"/>
      <c r="AE96" s="14"/>
      <c r="AI96" s="14"/>
    </row>
    <row r="97" spans="22:35" x14ac:dyDescent="0.25">
      <c r="V97" s="14"/>
      <c r="X97" s="14"/>
      <c r="AE97" s="14"/>
      <c r="AI97" s="14"/>
    </row>
    <row r="98" spans="22:35" x14ac:dyDescent="0.25">
      <c r="V98" s="14"/>
      <c r="X98" s="14"/>
      <c r="AE98" s="14"/>
      <c r="AI98" s="14"/>
    </row>
    <row r="99" spans="22:35" x14ac:dyDescent="0.25">
      <c r="V99" s="14"/>
      <c r="X99" s="14"/>
      <c r="AE99" s="14"/>
      <c r="AI99" s="14"/>
    </row>
    <row r="100" spans="22:35" x14ac:dyDescent="0.25">
      <c r="V100" s="14"/>
      <c r="X100" s="14"/>
      <c r="AE100" s="14"/>
      <c r="AI100" s="14"/>
    </row>
    <row r="101" spans="22:35" x14ac:dyDescent="0.25">
      <c r="V101" s="14"/>
      <c r="X101" s="14"/>
      <c r="AE101" s="14"/>
      <c r="AI101" s="14"/>
    </row>
    <row r="102" spans="22:35" x14ac:dyDescent="0.25">
      <c r="V102" s="14"/>
      <c r="X102" s="14"/>
      <c r="AE102" s="14"/>
      <c r="AI102" s="14"/>
    </row>
    <row r="103" spans="22:35" x14ac:dyDescent="0.25">
      <c r="V103" s="14"/>
      <c r="X103" s="14"/>
      <c r="AE103" s="14"/>
      <c r="AI103" s="14"/>
    </row>
    <row r="104" spans="22:35" x14ac:dyDescent="0.25">
      <c r="V104" s="14"/>
      <c r="X104" s="14"/>
      <c r="AE104" s="14"/>
      <c r="AI104" s="14"/>
    </row>
    <row r="105" spans="22:35" x14ac:dyDescent="0.25">
      <c r="V105" s="14"/>
      <c r="X105" s="14"/>
      <c r="AE105" s="14"/>
      <c r="AI105" s="14"/>
    </row>
    <row r="106" spans="22:35" x14ac:dyDescent="0.25">
      <c r="V106" s="14"/>
      <c r="X106" s="14"/>
      <c r="AE106" s="14"/>
      <c r="AI106" s="14"/>
    </row>
    <row r="107" spans="22:35" x14ac:dyDescent="0.25">
      <c r="V107" s="14"/>
      <c r="X107" s="14"/>
      <c r="AE107" s="14"/>
      <c r="AI107" s="14"/>
    </row>
    <row r="108" spans="22:35" x14ac:dyDescent="0.25">
      <c r="V108" s="14"/>
      <c r="X108" s="14"/>
      <c r="AE108" s="14"/>
      <c r="AI108" s="14"/>
    </row>
    <row r="109" spans="22:35" x14ac:dyDescent="0.25">
      <c r="V109" s="14"/>
      <c r="X109" s="14"/>
      <c r="AE109" s="14"/>
      <c r="AI109" s="14"/>
    </row>
    <row r="110" spans="22:35" x14ac:dyDescent="0.25">
      <c r="V110" s="14"/>
      <c r="X110" s="14"/>
      <c r="AE110" s="14"/>
      <c r="AI110" s="14"/>
    </row>
    <row r="111" spans="22:35" x14ac:dyDescent="0.25">
      <c r="V111" s="14"/>
      <c r="X111" s="14"/>
      <c r="AE111" s="14"/>
      <c r="AI111" s="14"/>
    </row>
    <row r="112" spans="22:35" x14ac:dyDescent="0.25">
      <c r="V112" s="14"/>
      <c r="X112" s="14"/>
      <c r="AE112" s="14"/>
      <c r="AI112" s="14"/>
    </row>
    <row r="113" spans="22:35" x14ac:dyDescent="0.25">
      <c r="V113" s="14"/>
      <c r="X113" s="14"/>
      <c r="AE113" s="14"/>
      <c r="AI113" s="14"/>
    </row>
    <row r="114" spans="22:35" x14ac:dyDescent="0.25">
      <c r="V114" s="14"/>
      <c r="X114" s="14"/>
      <c r="AE114" s="14"/>
      <c r="AI114" s="14"/>
    </row>
    <row r="115" spans="22:35" x14ac:dyDescent="0.25">
      <c r="V115" s="14"/>
      <c r="X115" s="14"/>
      <c r="AE115" s="14"/>
      <c r="AI115" s="14"/>
    </row>
    <row r="116" spans="22:35" x14ac:dyDescent="0.25">
      <c r="V116" s="14"/>
      <c r="X116" s="14"/>
      <c r="AE116" s="14"/>
      <c r="AI116" s="14"/>
    </row>
    <row r="117" spans="22:35" x14ac:dyDescent="0.25">
      <c r="V117" s="14"/>
      <c r="X117" s="14"/>
      <c r="AE117" s="14"/>
      <c r="AI117" s="14"/>
    </row>
    <row r="118" spans="22:35" x14ac:dyDescent="0.25">
      <c r="V118" s="14"/>
      <c r="X118" s="14"/>
      <c r="AE118" s="14"/>
      <c r="AI118" s="14"/>
    </row>
    <row r="119" spans="22:35" x14ac:dyDescent="0.25">
      <c r="V119" s="14"/>
      <c r="X119" s="14"/>
      <c r="AE119" s="14"/>
      <c r="AI119" s="14"/>
    </row>
    <row r="120" spans="22:35" x14ac:dyDescent="0.25">
      <c r="V120" s="14"/>
      <c r="X120" s="14"/>
      <c r="AE120" s="14"/>
      <c r="AI120" s="14"/>
    </row>
    <row r="121" spans="22:35" x14ac:dyDescent="0.25">
      <c r="V121" s="14"/>
      <c r="X121" s="14"/>
      <c r="AE121" s="14"/>
      <c r="AI121" s="14"/>
    </row>
    <row r="122" spans="22:35" x14ac:dyDescent="0.25">
      <c r="V122" s="14"/>
      <c r="X122" s="14"/>
      <c r="AE122" s="14"/>
      <c r="AI122" s="14"/>
    </row>
    <row r="123" spans="22:35" x14ac:dyDescent="0.25">
      <c r="V123" s="14"/>
      <c r="X123" s="14"/>
      <c r="AE123" s="14"/>
      <c r="AI123" s="14"/>
    </row>
    <row r="124" spans="22:35" x14ac:dyDescent="0.25">
      <c r="V124" s="14"/>
      <c r="X124" s="14"/>
      <c r="AE124" s="14"/>
      <c r="AI124" s="14"/>
    </row>
    <row r="125" spans="22:35" x14ac:dyDescent="0.25">
      <c r="V125" s="14"/>
      <c r="X125" s="14"/>
      <c r="AE125" s="14"/>
      <c r="AI125" s="14"/>
    </row>
    <row r="126" spans="22:35" x14ac:dyDescent="0.25">
      <c r="V126" s="14"/>
      <c r="X126" s="14"/>
      <c r="AE126" s="14"/>
      <c r="AI126" s="14"/>
    </row>
    <row r="127" spans="22:35" x14ac:dyDescent="0.25">
      <c r="V127" s="14"/>
      <c r="X127" s="14"/>
      <c r="AE127" s="14"/>
    </row>
    <row r="128" spans="22:35" x14ac:dyDescent="0.25">
      <c r="V128" s="14"/>
      <c r="X128" s="14"/>
      <c r="AE128" s="14"/>
    </row>
    <row r="129" spans="22:31" x14ac:dyDescent="0.25">
      <c r="V129" s="14"/>
      <c r="X129" s="14"/>
      <c r="AE129" s="1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3" tint="0.39997558519241921"/>
    <pageSetUpPr fitToPage="1"/>
  </sheetPr>
  <dimension ref="A1:R48"/>
  <sheetViews>
    <sheetView showGridLines="0" zoomScale="110" zoomScaleNormal="110" workbookViewId="0">
      <selection activeCell="F4" sqref="F4:G4"/>
    </sheetView>
  </sheetViews>
  <sheetFormatPr defaultColWidth="11.42578125" defaultRowHeight="12" x14ac:dyDescent="0.2"/>
  <cols>
    <col min="1" max="1" width="2.7109375" style="32" customWidth="1"/>
    <col min="2" max="2" width="9" style="32" customWidth="1"/>
    <col min="3" max="3" width="5.5703125" style="32" bestFit="1" customWidth="1"/>
    <col min="4" max="4" width="34.5703125" style="32" customWidth="1"/>
    <col min="5" max="5" width="6.5703125" style="32" customWidth="1"/>
    <col min="6" max="6" width="37" style="32" customWidth="1"/>
    <col min="7" max="7" width="9" style="32" customWidth="1"/>
    <col min="8" max="8" width="9.140625" style="32" customWidth="1"/>
    <col min="9" max="9" width="6.7109375" style="32" customWidth="1"/>
    <col min="10" max="10" width="8.5703125" style="58" customWidth="1"/>
    <col min="11" max="11" width="9.28515625" style="59" customWidth="1"/>
    <col min="12" max="12" width="5.85546875" style="32" customWidth="1"/>
    <col min="13" max="13" width="11.85546875" style="32" customWidth="1"/>
    <col min="14" max="14" width="0.42578125" style="32" customWidth="1"/>
    <col min="15" max="15" width="14.42578125" style="32" customWidth="1"/>
    <col min="16" max="16" width="11.42578125" style="1"/>
    <col min="17" max="17" width="11.42578125" style="1" customWidth="1"/>
    <col min="18" max="16384" width="11.42578125" style="1"/>
  </cols>
  <sheetData>
    <row r="1" spans="1:15" ht="18.75" customHeight="1" x14ac:dyDescent="0.2">
      <c r="A1" s="118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ht="18" customHeight="1" thickBot="1" x14ac:dyDescent="0.25">
      <c r="A2" s="118" t="s">
        <v>48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</row>
    <row r="3" spans="1:15" ht="18" customHeight="1" thickBot="1" x14ac:dyDescent="0.25">
      <c r="A3" s="119">
        <v>41862</v>
      </c>
      <c r="B3" s="120"/>
      <c r="C3" s="121"/>
      <c r="D3" s="2"/>
      <c r="F3" s="122">
        <v>201</v>
      </c>
      <c r="G3" s="123"/>
      <c r="H3" s="3" t="s">
        <v>1</v>
      </c>
      <c r="I3" s="2"/>
      <c r="J3" s="20"/>
      <c r="K3" s="124" t="s">
        <v>699</v>
      </c>
      <c r="L3" s="125"/>
      <c r="M3" s="4" t="s">
        <v>2</v>
      </c>
      <c r="N3" s="35"/>
      <c r="O3" s="4">
        <v>1</v>
      </c>
    </row>
    <row r="4" spans="1:15" ht="18" customHeight="1" x14ac:dyDescent="0.2">
      <c r="A4" s="111" t="s">
        <v>3</v>
      </c>
      <c r="B4" s="111"/>
      <c r="C4" s="111"/>
      <c r="D4" s="28"/>
      <c r="F4" s="112" t="s">
        <v>63</v>
      </c>
      <c r="G4" s="112"/>
      <c r="J4" s="36"/>
      <c r="K4" s="113" t="s">
        <v>64</v>
      </c>
      <c r="L4" s="113"/>
      <c r="M4" s="4" t="s">
        <v>4</v>
      </c>
      <c r="N4" s="35"/>
      <c r="O4" s="35">
        <v>25</v>
      </c>
    </row>
    <row r="5" spans="1:15" ht="18" customHeight="1" x14ac:dyDescent="0.2">
      <c r="B5" s="28"/>
      <c r="C5" s="28"/>
      <c r="D5" s="28"/>
      <c r="E5" s="28"/>
      <c r="F5" s="28"/>
      <c r="G5" s="28"/>
      <c r="H5" s="28"/>
      <c r="I5" s="28"/>
      <c r="J5" s="37"/>
      <c r="K5" s="38"/>
      <c r="L5" s="28"/>
      <c r="M5" s="28"/>
      <c r="N5" s="28"/>
      <c r="O5" s="28"/>
    </row>
    <row r="6" spans="1:15" ht="16.5" customHeight="1" x14ac:dyDescent="0.2">
      <c r="A6" s="104" t="s">
        <v>5</v>
      </c>
      <c r="B6" s="108" t="s">
        <v>6</v>
      </c>
      <c r="C6" s="109" t="s">
        <v>7</v>
      </c>
      <c r="D6" s="108" t="s">
        <v>8</v>
      </c>
      <c r="E6" s="104" t="s">
        <v>49</v>
      </c>
      <c r="F6" s="116" t="s">
        <v>62</v>
      </c>
      <c r="G6" s="104" t="s">
        <v>9</v>
      </c>
      <c r="H6" s="104" t="s">
        <v>10</v>
      </c>
      <c r="I6" s="96" t="s">
        <v>11</v>
      </c>
      <c r="J6" s="105" t="s">
        <v>61</v>
      </c>
      <c r="K6" s="107" t="s">
        <v>12</v>
      </c>
      <c r="L6" s="114" t="s">
        <v>13</v>
      </c>
      <c r="M6" s="96" t="s">
        <v>14</v>
      </c>
      <c r="N6" s="98"/>
      <c r="O6" s="100" t="s">
        <v>15</v>
      </c>
    </row>
    <row r="7" spans="1:15" ht="16.5" customHeight="1" x14ac:dyDescent="0.2">
      <c r="A7" s="104"/>
      <c r="B7" s="108"/>
      <c r="C7" s="110"/>
      <c r="D7" s="108"/>
      <c r="E7" s="104"/>
      <c r="F7" s="117"/>
      <c r="G7" s="104"/>
      <c r="H7" s="104"/>
      <c r="I7" s="97"/>
      <c r="J7" s="106"/>
      <c r="K7" s="107"/>
      <c r="L7" s="115"/>
      <c r="M7" s="97"/>
      <c r="N7" s="99"/>
      <c r="O7" s="101"/>
    </row>
    <row r="8" spans="1:15" ht="15" customHeight="1" x14ac:dyDescent="0.2">
      <c r="A8" s="5">
        <f>+O3</f>
        <v>1</v>
      </c>
      <c r="B8" s="5" t="str">
        <f>+IFERROR(VLOOKUP(A8,Info!B:AK,3,0),"")</f>
        <v/>
      </c>
      <c r="C8" s="5" t="str">
        <f>+IFERROR(VLOOKUP(A8,Info!B:AK,5,0),"")</f>
        <v/>
      </c>
      <c r="D8" s="5" t="str">
        <f>+IFERROR(VLOOKUP(A8,Info!B:AK,8,0),"")</f>
        <v/>
      </c>
      <c r="E8" s="6" t="str">
        <f>+IFERROR(VLOOKUP(A8,Info!B:AK,16,0),"")</f>
        <v/>
      </c>
      <c r="F8" s="18" t="str">
        <f>+IFERROR(VLOOKUP(A8,Info!B:AK,18,0),"")</f>
        <v/>
      </c>
      <c r="G8" s="5" t="str">
        <f>IF(SUM(IFERROR(VLOOKUP(A8,Info!B:AK,16,0),0),IFERROR(VLOOKUP(A8,Info!B:AK,17,0),0))=0,"",SUM(IFERROR(VLOOKUP(A8,Info!B:AK,16,0),0),IFERROR(VLOOKUP(A8,Info!B:AK,17,0),0)))</f>
        <v/>
      </c>
      <c r="H8" s="7" t="str">
        <f>+IFERROR(VLOOKUP(A8,Info!B:AK,13,0),"")</f>
        <v/>
      </c>
      <c r="I8" s="8" t="str">
        <f>+IFERROR(VLOOKUP(A8,Info!B:AK,15,0),"")</f>
        <v/>
      </c>
      <c r="J8" s="39" t="str">
        <f>+IFERROR(VLOOKUP(A8,Info!B:AK,25,0),"")</f>
        <v/>
      </c>
      <c r="K8" s="40" t="str">
        <f t="shared" ref="K8" si="0">IF(B8="","",H8-I8-J8)</f>
        <v/>
      </c>
      <c r="L8" s="5" t="str">
        <f>+IFERROR(VLOOKUP(A8,Info!B:AK,27,0),"")</f>
        <v/>
      </c>
      <c r="M8" s="29" t="str">
        <f>+IFERROR(VLOOKUP(A8,Info!B:AK,21,0),"")</f>
        <v/>
      </c>
      <c r="N8" s="41"/>
      <c r="O8" s="42" t="str">
        <f>+IFERROR(VLOOKUP(A8,Info!B:AK,22,0),"")</f>
        <v/>
      </c>
    </row>
    <row r="9" spans="1:15" ht="15" customHeight="1" x14ac:dyDescent="0.2">
      <c r="A9" s="22">
        <f>+A8+1</f>
        <v>2</v>
      </c>
      <c r="B9" s="22" t="str">
        <f>+IFERROR(VLOOKUP(A9,Info!B:AK,3,0),"")</f>
        <v/>
      </c>
      <c r="C9" s="22" t="str">
        <f>+IFERROR(VLOOKUP(A9,Info!B:AK,5,0),"")</f>
        <v/>
      </c>
      <c r="D9" s="22" t="str">
        <f>+IFERROR(VLOOKUP(A9,Info!B:AK,8,0),"")</f>
        <v/>
      </c>
      <c r="E9" s="23" t="str">
        <f>+IFERROR(VLOOKUP(A9,Info!B:AK,16,0),"")</f>
        <v/>
      </c>
      <c r="F9" s="24" t="str">
        <f>+IFERROR(VLOOKUP(A9,Info!B:AK,18,0),"")</f>
        <v/>
      </c>
      <c r="G9" s="22" t="str">
        <f>IF(SUM(IFERROR(VLOOKUP(A9,Info!B:AK,16,0),0),IFERROR(VLOOKUP(A9,Info!B:AK,17,0),0))=0,"",SUM(IFERROR(VLOOKUP(A9,Info!B:AK,16,0),0),IFERROR(VLOOKUP(A9,Info!B:AK,17,0),0)))</f>
        <v/>
      </c>
      <c r="H9" s="25" t="str">
        <f>+IFERROR(VLOOKUP(A9,Info!B:AK,13,0),"")</f>
        <v/>
      </c>
      <c r="I9" s="26" t="str">
        <f>+IFERROR(VLOOKUP(A9,Info!B:AK,15,0),"")</f>
        <v/>
      </c>
      <c r="J9" s="43" t="str">
        <f>+IFERROR(VLOOKUP(A9,Info!B:AK,25,0),"")</f>
        <v/>
      </c>
      <c r="K9" s="44" t="str">
        <f t="shared" ref="K9:K32" si="1">IF(B9="","",H9-I9-J9)</f>
        <v/>
      </c>
      <c r="L9" s="22" t="str">
        <f>+IFERROR(VLOOKUP(A9,Info!B:AK,27,0),"")</f>
        <v/>
      </c>
      <c r="M9" s="30" t="str">
        <f>+IFERROR(VLOOKUP(A9,Info!B:AK,21,0),"")</f>
        <v/>
      </c>
      <c r="N9" s="45"/>
      <c r="O9" s="46" t="str">
        <f>+IFERROR(VLOOKUP(A9,Info!B:AK,22,0),"")</f>
        <v/>
      </c>
    </row>
    <row r="10" spans="1:15" ht="15" customHeight="1" x14ac:dyDescent="0.2">
      <c r="A10" s="5">
        <f>+A9+1</f>
        <v>3</v>
      </c>
      <c r="B10" s="5" t="str">
        <f>+IFERROR(VLOOKUP(A10,Info!B:AK,3,0),"")</f>
        <v/>
      </c>
      <c r="C10" s="5" t="str">
        <f>+IFERROR(VLOOKUP(A10,Info!B:AK,5,0),"")</f>
        <v/>
      </c>
      <c r="D10" s="5" t="str">
        <f>+IFERROR(VLOOKUP(A10,Info!B:AK,8,0),"")</f>
        <v/>
      </c>
      <c r="E10" s="6" t="str">
        <f>+IFERROR(VLOOKUP(A10,Info!B:AK,16,0),"")</f>
        <v/>
      </c>
      <c r="F10" s="18" t="str">
        <f>+IFERROR(VLOOKUP(A10,Info!B:AK,18,0),"")</f>
        <v/>
      </c>
      <c r="G10" s="5" t="str">
        <f>IF(SUM(IFERROR(VLOOKUP(A10,Info!B:AK,16,0),0),IFERROR(VLOOKUP(A10,Info!B:AK,17,0),0))=0,"",SUM(IFERROR(VLOOKUP(A10,Info!B:AK,16,0),0),IFERROR(VLOOKUP(A10,Info!B:AK,17,0),0)))</f>
        <v/>
      </c>
      <c r="H10" s="7" t="str">
        <f>+IFERROR(VLOOKUP(A10,Info!B:AK,13,0),"")</f>
        <v/>
      </c>
      <c r="I10" s="8" t="str">
        <f>+IFERROR(VLOOKUP(A10,Info!B:AK,15,0),"")</f>
        <v/>
      </c>
      <c r="J10" s="39" t="str">
        <f>+IFERROR(VLOOKUP(A10,Info!B:AK,25,0),"")</f>
        <v/>
      </c>
      <c r="K10" s="40" t="str">
        <f t="shared" si="1"/>
        <v/>
      </c>
      <c r="L10" s="5" t="str">
        <f>+IFERROR(VLOOKUP(A10,Info!B:AK,27,0),"")</f>
        <v/>
      </c>
      <c r="M10" s="29" t="str">
        <f>+IFERROR(VLOOKUP(A10,Info!B:AK,21,0),"")</f>
        <v/>
      </c>
      <c r="N10" s="41"/>
      <c r="O10" s="42" t="str">
        <f>+IFERROR(VLOOKUP(A10,Info!B:AK,22,0),"")</f>
        <v/>
      </c>
    </row>
    <row r="11" spans="1:15" ht="15" customHeight="1" x14ac:dyDescent="0.2">
      <c r="A11" s="22">
        <f t="shared" ref="A11:A32" si="2">+A10+1</f>
        <v>4</v>
      </c>
      <c r="B11" s="22" t="str">
        <f>+IFERROR(VLOOKUP(A11,Info!B:AK,3,0),"")</f>
        <v/>
      </c>
      <c r="C11" s="22" t="str">
        <f>+IFERROR(VLOOKUP(A11,Info!B:AK,5,0),"")</f>
        <v/>
      </c>
      <c r="D11" s="22" t="str">
        <f>+IFERROR(VLOOKUP(A11,Info!B:AK,8,0),"")</f>
        <v/>
      </c>
      <c r="E11" s="23" t="str">
        <f>+IFERROR(VLOOKUP(A11,Info!B:AK,16,0),"")</f>
        <v/>
      </c>
      <c r="F11" s="24" t="str">
        <f>+IFERROR(VLOOKUP(A11,Info!B:AK,18,0),"")</f>
        <v/>
      </c>
      <c r="G11" s="22" t="str">
        <f>IF(SUM(IFERROR(VLOOKUP(A11,Info!B:AK,16,0),0),IFERROR(VLOOKUP(A11,Info!B:AK,17,0),0))=0,"",SUM(IFERROR(VLOOKUP(A11,Info!B:AK,16,0),0),IFERROR(VLOOKUP(A11,Info!B:AK,17,0),0)))</f>
        <v/>
      </c>
      <c r="H11" s="25" t="str">
        <f>+IFERROR(VLOOKUP(A11,Info!B:AK,13,0),"")</f>
        <v/>
      </c>
      <c r="I11" s="26" t="str">
        <f>+IFERROR(VLOOKUP(A11,Info!B:AK,15,0),"")</f>
        <v/>
      </c>
      <c r="J11" s="43" t="str">
        <f>+IFERROR(VLOOKUP(A11,Info!B:AK,25,0),"")</f>
        <v/>
      </c>
      <c r="K11" s="44" t="str">
        <f t="shared" si="1"/>
        <v/>
      </c>
      <c r="L11" s="22" t="str">
        <f>+IFERROR(VLOOKUP(A11,Info!B:AK,27,0),"")</f>
        <v/>
      </c>
      <c r="M11" s="30" t="str">
        <f>+IFERROR(VLOOKUP(A11,Info!B:AK,21,0),"")</f>
        <v/>
      </c>
      <c r="N11" s="45"/>
      <c r="O11" s="46" t="str">
        <f>+IFERROR(VLOOKUP(A11,Info!B:AK,22,0),"")</f>
        <v/>
      </c>
    </row>
    <row r="12" spans="1:15" ht="15" customHeight="1" x14ac:dyDescent="0.2">
      <c r="A12" s="5">
        <f t="shared" si="2"/>
        <v>5</v>
      </c>
      <c r="B12" s="5" t="str">
        <f>+IFERROR(VLOOKUP(A12,Info!B:AK,3,0),"")</f>
        <v/>
      </c>
      <c r="C12" s="5" t="str">
        <f>+IFERROR(VLOOKUP(A12,Info!B:AK,5,0),"")</f>
        <v/>
      </c>
      <c r="D12" s="5" t="str">
        <f>+IFERROR(VLOOKUP(A12,Info!B:AK,8,0),"")</f>
        <v/>
      </c>
      <c r="E12" s="6" t="str">
        <f>+IFERROR(VLOOKUP(A12,Info!B:AK,16,0),"")</f>
        <v/>
      </c>
      <c r="F12" s="18" t="str">
        <f>+IFERROR(VLOOKUP(A12,Info!B:AK,18,0),"")</f>
        <v/>
      </c>
      <c r="G12" s="5" t="str">
        <f>IF(SUM(IFERROR(VLOOKUP(A12,Info!B:AK,16,0),0),IFERROR(VLOOKUP(A12,Info!B:AK,17,0),0))=0,"",SUM(IFERROR(VLOOKUP(A12,Info!B:AK,16,0),0),IFERROR(VLOOKUP(A12,Info!B:AK,17,0),0)))</f>
        <v/>
      </c>
      <c r="H12" s="7" t="str">
        <f>+IFERROR(VLOOKUP(A12,Info!B:AK,13,0),"")</f>
        <v/>
      </c>
      <c r="I12" s="8" t="str">
        <f>+IFERROR(VLOOKUP(A12,Info!B:AK,15,0),"")</f>
        <v/>
      </c>
      <c r="J12" s="39" t="str">
        <f>+IFERROR(VLOOKUP(A12,Info!B:AK,25,0),"")</f>
        <v/>
      </c>
      <c r="K12" s="40" t="str">
        <f t="shared" si="1"/>
        <v/>
      </c>
      <c r="L12" s="5" t="str">
        <f>+IFERROR(VLOOKUP(A12,Info!B:AK,27,0),"")</f>
        <v/>
      </c>
      <c r="M12" s="29" t="str">
        <f>+IFERROR(VLOOKUP(A12,Info!B:AK,21,0),"")</f>
        <v/>
      </c>
      <c r="N12" s="41"/>
      <c r="O12" s="42" t="str">
        <f>+IFERROR(VLOOKUP(A12,Info!B:AK,22,0),"")</f>
        <v/>
      </c>
    </row>
    <row r="13" spans="1:15" ht="15" customHeight="1" x14ac:dyDescent="0.2">
      <c r="A13" s="22">
        <f t="shared" si="2"/>
        <v>6</v>
      </c>
      <c r="B13" s="22" t="str">
        <f>+IFERROR(VLOOKUP(A13,Info!B:AK,3,0),"")</f>
        <v/>
      </c>
      <c r="C13" s="22" t="str">
        <f>+IFERROR(VLOOKUP(A13,Info!B:AK,5,0),"")</f>
        <v/>
      </c>
      <c r="D13" s="22" t="str">
        <f>+IFERROR(VLOOKUP(A13,Info!B:AK,8,0),"")</f>
        <v/>
      </c>
      <c r="E13" s="23" t="str">
        <f>+IFERROR(VLOOKUP(A13,Info!B:AK,16,0),"")</f>
        <v/>
      </c>
      <c r="F13" s="27" t="str">
        <f>+IFERROR(VLOOKUP(A13,Info!B:AK,18,0),"")</f>
        <v/>
      </c>
      <c r="G13" s="22" t="str">
        <f>IF(SUM(IFERROR(VLOOKUP(A13,Info!B:AK,16,0),0),IFERROR(VLOOKUP(A13,Info!B:AK,17,0),0))=0,"",SUM(IFERROR(VLOOKUP(A13,Info!B:AK,16,0),0),IFERROR(VLOOKUP(A13,Info!B:AK,17,0),0)))</f>
        <v/>
      </c>
      <c r="H13" s="25" t="str">
        <f>+IFERROR(VLOOKUP(A13,Info!B:AK,13,0),"")</f>
        <v/>
      </c>
      <c r="I13" s="26" t="str">
        <f>+IFERROR(VLOOKUP(A13,Info!B:AK,15,0),"")</f>
        <v/>
      </c>
      <c r="J13" s="43" t="str">
        <f>+IFERROR(VLOOKUP(A13,Info!B:AK,25,0),"")</f>
        <v/>
      </c>
      <c r="K13" s="44" t="str">
        <f t="shared" si="1"/>
        <v/>
      </c>
      <c r="L13" s="22" t="str">
        <f>+IFERROR(VLOOKUP(A13,Info!B:AK,27,0),"")</f>
        <v/>
      </c>
      <c r="M13" s="30" t="str">
        <f>+IFERROR(VLOOKUP(A13,Info!B:AK,21,0),"")</f>
        <v/>
      </c>
      <c r="N13" s="45"/>
      <c r="O13" s="46" t="str">
        <f>+IFERROR(VLOOKUP(A13,Info!B:AK,22,0),"")</f>
        <v/>
      </c>
    </row>
    <row r="14" spans="1:15" ht="15" customHeight="1" x14ac:dyDescent="0.2">
      <c r="A14" s="5">
        <f t="shared" si="2"/>
        <v>7</v>
      </c>
      <c r="B14" s="5" t="str">
        <f>+IFERROR(VLOOKUP(A14,Info!B:AK,3,0),"")</f>
        <v/>
      </c>
      <c r="C14" s="5" t="str">
        <f>+IFERROR(VLOOKUP(A14,Info!B:AK,5,0),"")</f>
        <v/>
      </c>
      <c r="D14" s="5" t="str">
        <f>+IFERROR(VLOOKUP(A14,Info!B:AK,8,0),"")</f>
        <v/>
      </c>
      <c r="E14" s="6" t="str">
        <f>+IFERROR(VLOOKUP(A14,Info!B:AK,16,0),"")</f>
        <v/>
      </c>
      <c r="F14" s="18" t="str">
        <f>+IFERROR(VLOOKUP(A14,Info!B:AK,18,0),"")</f>
        <v/>
      </c>
      <c r="G14" s="5" t="str">
        <f>IF(SUM(IFERROR(VLOOKUP(A14,Info!B:AK,16,0),0),IFERROR(VLOOKUP(A14,Info!B:AK,17,0),0))=0,"",SUM(IFERROR(VLOOKUP(A14,Info!B:AK,16,0),0),IFERROR(VLOOKUP(A14,Info!B:AK,17,0),0)))</f>
        <v/>
      </c>
      <c r="H14" s="7" t="str">
        <f>+IFERROR(VLOOKUP(A14,Info!B:AK,13,0),"")</f>
        <v/>
      </c>
      <c r="I14" s="8" t="str">
        <f>+IFERROR(VLOOKUP(A14,Info!B:AK,15,0),"")</f>
        <v/>
      </c>
      <c r="J14" s="39" t="str">
        <f>+IFERROR(VLOOKUP(A14,Info!B:AK,25,0),"")</f>
        <v/>
      </c>
      <c r="K14" s="40" t="str">
        <f t="shared" si="1"/>
        <v/>
      </c>
      <c r="L14" s="5" t="str">
        <f>+IFERROR(VLOOKUP(A14,Info!B:AK,27,0),"")</f>
        <v/>
      </c>
      <c r="M14" s="29" t="str">
        <f>+IFERROR(VLOOKUP(A14,Info!B:AK,21,0),"")</f>
        <v/>
      </c>
      <c r="N14" s="41"/>
      <c r="O14" s="42" t="str">
        <f>+IFERROR(VLOOKUP(A14,Info!B:AK,22,0),"")</f>
        <v/>
      </c>
    </row>
    <row r="15" spans="1:15" ht="15" customHeight="1" x14ac:dyDescent="0.2">
      <c r="A15" s="22">
        <f t="shared" si="2"/>
        <v>8</v>
      </c>
      <c r="B15" s="22" t="str">
        <f>+IFERROR(VLOOKUP(A15,Info!B:AK,3,0),"")</f>
        <v/>
      </c>
      <c r="C15" s="22" t="str">
        <f>+IFERROR(VLOOKUP(A15,Info!B:AK,5,0),"")</f>
        <v/>
      </c>
      <c r="D15" s="22" t="str">
        <f>+IFERROR(VLOOKUP(A15,Info!B:AK,8,0),"")</f>
        <v/>
      </c>
      <c r="E15" s="23" t="str">
        <f>+IFERROR(VLOOKUP(A15,Info!B:AK,16,0),"")</f>
        <v/>
      </c>
      <c r="F15" s="27" t="str">
        <f>+IFERROR(VLOOKUP(A15,Info!B:AK,18,0),"")</f>
        <v/>
      </c>
      <c r="G15" s="22" t="str">
        <f>IF(SUM(IFERROR(VLOOKUP(A15,Info!B:AK,16,0),0),IFERROR(VLOOKUP(A15,Info!B:AK,17,0),0))=0,"",SUM(IFERROR(VLOOKUP(A15,Info!B:AK,16,0),0),IFERROR(VLOOKUP(A15,Info!B:AK,17,0),0)))</f>
        <v/>
      </c>
      <c r="H15" s="25" t="str">
        <f>+IFERROR(VLOOKUP(A15,Info!B:AK,13,0),"")</f>
        <v/>
      </c>
      <c r="I15" s="26" t="str">
        <f>+IFERROR(VLOOKUP(A15,Info!B:AK,15,0),"")</f>
        <v/>
      </c>
      <c r="J15" s="43" t="str">
        <f>+IFERROR(VLOOKUP(A15,Info!B:AK,25,0),"")</f>
        <v/>
      </c>
      <c r="K15" s="44" t="str">
        <f t="shared" si="1"/>
        <v/>
      </c>
      <c r="L15" s="22" t="str">
        <f>+IFERROR(VLOOKUP(A15,Info!B:AK,27,0),"")</f>
        <v/>
      </c>
      <c r="M15" s="30" t="str">
        <f>+IFERROR(VLOOKUP(A15,Info!B:AK,21,0),"")</f>
        <v/>
      </c>
      <c r="N15" s="45"/>
      <c r="O15" s="46" t="str">
        <f>+IFERROR(VLOOKUP(A15,Info!B:AK,22,0),"")</f>
        <v/>
      </c>
    </row>
    <row r="16" spans="1:15" ht="15" customHeight="1" x14ac:dyDescent="0.2">
      <c r="A16" s="5">
        <f t="shared" si="2"/>
        <v>9</v>
      </c>
      <c r="B16" s="5" t="str">
        <f>+IFERROR(VLOOKUP(A16,Info!B:AK,3,0),"")</f>
        <v/>
      </c>
      <c r="C16" s="5" t="str">
        <f>+IFERROR(VLOOKUP(A16,Info!B:AK,5,0),"")</f>
        <v/>
      </c>
      <c r="D16" s="5" t="str">
        <f>+IFERROR(VLOOKUP(A16,Info!B:AK,8,0),"")</f>
        <v/>
      </c>
      <c r="E16" s="6" t="str">
        <f>+IFERROR(VLOOKUP(A16,Info!B:AK,16,0),"")</f>
        <v/>
      </c>
      <c r="F16" s="16" t="str">
        <f>+IFERROR(VLOOKUP(A16,Info!B:AK,18,0),"")</f>
        <v/>
      </c>
      <c r="G16" s="5" t="str">
        <f>IF(SUM(IFERROR(VLOOKUP(A16,Info!B:AK,16,0),0),IFERROR(VLOOKUP(A16,Info!B:AK,17,0),0))=0,"",SUM(IFERROR(VLOOKUP(A16,Info!B:AK,16,0),0),IFERROR(VLOOKUP(A16,Info!B:AK,17,0),0)))</f>
        <v/>
      </c>
      <c r="H16" s="7" t="str">
        <f>+IFERROR(VLOOKUP(A16,Info!B:AK,13,0),"")</f>
        <v/>
      </c>
      <c r="I16" s="8" t="str">
        <f>+IFERROR(VLOOKUP(A16,Info!B:AK,15,0),"")</f>
        <v/>
      </c>
      <c r="J16" s="39" t="str">
        <f>+IFERROR(VLOOKUP(A16,Info!B:AK,25,0),"")</f>
        <v/>
      </c>
      <c r="K16" s="40" t="str">
        <f t="shared" si="1"/>
        <v/>
      </c>
      <c r="L16" s="5" t="str">
        <f>+IFERROR(VLOOKUP(A16,Info!B:AK,27,0),"")</f>
        <v/>
      </c>
      <c r="M16" s="29" t="str">
        <f>+IFERROR(VLOOKUP(A16,Info!B:AK,21,0),"")</f>
        <v/>
      </c>
      <c r="N16" s="41"/>
      <c r="O16" s="42" t="str">
        <f>+IFERROR(VLOOKUP(A16,Info!B:AK,22,0),"")</f>
        <v/>
      </c>
    </row>
    <row r="17" spans="1:15" ht="15" customHeight="1" x14ac:dyDescent="0.2">
      <c r="A17" s="22">
        <f t="shared" si="2"/>
        <v>10</v>
      </c>
      <c r="B17" s="22" t="str">
        <f>+IFERROR(VLOOKUP(A17,Info!B:AK,3,0),"")</f>
        <v/>
      </c>
      <c r="C17" s="22" t="str">
        <f>+IFERROR(VLOOKUP(A17,Info!B:AK,5,0),"")</f>
        <v/>
      </c>
      <c r="D17" s="22" t="str">
        <f>+IFERROR(VLOOKUP(A17,Info!B:AK,8,0),"")</f>
        <v/>
      </c>
      <c r="E17" s="23" t="str">
        <f>+IFERROR(VLOOKUP(A17,Info!B:AK,16,0),"")</f>
        <v/>
      </c>
      <c r="F17" s="27" t="str">
        <f>+IFERROR(VLOOKUP(A17,Info!B:AK,18,0),"")</f>
        <v/>
      </c>
      <c r="G17" s="22" t="str">
        <f>IF(SUM(IFERROR(VLOOKUP(A17,Info!B:AK,16,0),0),IFERROR(VLOOKUP(A17,Info!B:AK,17,0),0))=0,"",SUM(IFERROR(VLOOKUP(A17,Info!B:AK,16,0),0),IFERROR(VLOOKUP(A17,Info!B:AK,17,0),0)))</f>
        <v/>
      </c>
      <c r="H17" s="25" t="str">
        <f>+IFERROR(VLOOKUP(A17,Info!B:AK,13,0),"")</f>
        <v/>
      </c>
      <c r="I17" s="26" t="str">
        <f>+IFERROR(VLOOKUP(A17,Info!B:AK,15,0),"")</f>
        <v/>
      </c>
      <c r="J17" s="43" t="str">
        <f>+IFERROR(VLOOKUP(A17,Info!B:AK,25,0),"")</f>
        <v/>
      </c>
      <c r="K17" s="44" t="str">
        <f t="shared" si="1"/>
        <v/>
      </c>
      <c r="L17" s="22" t="str">
        <f>+IFERROR(VLOOKUP(A17,Info!B:AK,27,0),"")</f>
        <v/>
      </c>
      <c r="M17" s="30" t="str">
        <f>+IFERROR(VLOOKUP(A17,Info!B:AK,21,0),"")</f>
        <v/>
      </c>
      <c r="N17" s="45"/>
      <c r="O17" s="46" t="str">
        <f>+IFERROR(VLOOKUP(A17,Info!B:AK,22,0),"")</f>
        <v/>
      </c>
    </row>
    <row r="18" spans="1:15" ht="15" customHeight="1" x14ac:dyDescent="0.2">
      <c r="A18" s="5">
        <f t="shared" si="2"/>
        <v>11</v>
      </c>
      <c r="B18" s="5" t="str">
        <f>+IFERROR(VLOOKUP(A18,Info!B:AK,3,0),"")</f>
        <v/>
      </c>
      <c r="C18" s="5" t="str">
        <f>+IFERROR(VLOOKUP(A18,Info!B:AK,5,0),"")</f>
        <v/>
      </c>
      <c r="D18" s="5" t="str">
        <f>+IFERROR(VLOOKUP(A18,Info!B:AK,8,0),"")</f>
        <v/>
      </c>
      <c r="E18" s="6" t="str">
        <f>+IFERROR(VLOOKUP(A18,Info!B:AK,16,0),"")</f>
        <v/>
      </c>
      <c r="F18" s="16" t="str">
        <f>+IFERROR(VLOOKUP(A18,Info!B:AK,18,0),"")</f>
        <v/>
      </c>
      <c r="G18" s="5" t="str">
        <f>IF(SUM(IFERROR(VLOOKUP(A18,Info!B:AK,16,0),0),IFERROR(VLOOKUP(A18,Info!B:AK,17,0),0))=0,"",SUM(IFERROR(VLOOKUP(A18,Info!B:AK,16,0),0),IFERROR(VLOOKUP(A18,Info!B:AK,17,0),0)))</f>
        <v/>
      </c>
      <c r="H18" s="7" t="str">
        <f>+IFERROR(VLOOKUP(A18,Info!B:AK,13,0),"")</f>
        <v/>
      </c>
      <c r="I18" s="8" t="str">
        <f>+IFERROR(VLOOKUP(A18,Info!B:AK,15,0),"")</f>
        <v/>
      </c>
      <c r="J18" s="39" t="str">
        <f>+IFERROR(VLOOKUP(A18,Info!B:AK,25,0),"")</f>
        <v/>
      </c>
      <c r="K18" s="40" t="str">
        <f t="shared" si="1"/>
        <v/>
      </c>
      <c r="L18" s="5" t="str">
        <f>+IFERROR(VLOOKUP(A18,Info!B:AK,27,0),"")</f>
        <v/>
      </c>
      <c r="M18" s="29" t="str">
        <f>+IFERROR(VLOOKUP(A18,Info!B:AK,21,0),"")</f>
        <v/>
      </c>
      <c r="N18" s="41"/>
      <c r="O18" s="42" t="str">
        <f>+IFERROR(VLOOKUP(A18,Info!B:AK,22,0),"")</f>
        <v/>
      </c>
    </row>
    <row r="19" spans="1:15" ht="15" customHeight="1" x14ac:dyDescent="0.2">
      <c r="A19" s="22">
        <f t="shared" si="2"/>
        <v>12</v>
      </c>
      <c r="B19" s="22" t="str">
        <f>+IFERROR(VLOOKUP(A19,Info!B:AK,3,0),"")</f>
        <v/>
      </c>
      <c r="C19" s="22" t="str">
        <f>+IFERROR(VLOOKUP(A19,Info!B:AK,5,0),"")</f>
        <v/>
      </c>
      <c r="D19" s="22" t="str">
        <f>+IFERROR(VLOOKUP(A19,Info!B:AK,8,0),"")</f>
        <v/>
      </c>
      <c r="E19" s="23" t="str">
        <f>+IFERROR(VLOOKUP(A19,Info!B:AK,16,0),"")</f>
        <v/>
      </c>
      <c r="F19" s="27" t="str">
        <f>+IFERROR(VLOOKUP(A19,Info!B:AK,18,0),"")</f>
        <v/>
      </c>
      <c r="G19" s="22" t="str">
        <f>IF(SUM(IFERROR(VLOOKUP(A19,Info!B:AK,16,0),0),IFERROR(VLOOKUP(A19,Info!B:AK,17,0),0))=0,"",SUM(IFERROR(VLOOKUP(A19,Info!B:AK,16,0),0),IFERROR(VLOOKUP(A19,Info!B:AK,17,0),0)))</f>
        <v/>
      </c>
      <c r="H19" s="25" t="str">
        <f>+IFERROR(VLOOKUP(A19,Info!B:AK,13,0),"")</f>
        <v/>
      </c>
      <c r="I19" s="26" t="str">
        <f>+IFERROR(VLOOKUP(A19,Info!B:AK,15,0),"")</f>
        <v/>
      </c>
      <c r="J19" s="43" t="str">
        <f>+IFERROR(VLOOKUP(A19,Info!B:AK,25,0),"")</f>
        <v/>
      </c>
      <c r="K19" s="44" t="str">
        <f t="shared" si="1"/>
        <v/>
      </c>
      <c r="L19" s="22" t="str">
        <f>+IFERROR(VLOOKUP(A19,Info!B:AK,27,0),"")</f>
        <v/>
      </c>
      <c r="M19" s="30" t="str">
        <f>+IFERROR(VLOOKUP(A19,Info!B:AK,21,0),"")</f>
        <v/>
      </c>
      <c r="N19" s="45"/>
      <c r="O19" s="46" t="str">
        <f>+IFERROR(VLOOKUP(A19,Info!B:AK,22,0),"")</f>
        <v/>
      </c>
    </row>
    <row r="20" spans="1:15" ht="15" customHeight="1" x14ac:dyDescent="0.2">
      <c r="A20" s="5">
        <f t="shared" si="2"/>
        <v>13</v>
      </c>
      <c r="B20" s="5" t="str">
        <f>+IFERROR(VLOOKUP(A20,Info!B:AK,3,0),"")</f>
        <v/>
      </c>
      <c r="C20" s="5" t="str">
        <f>+IFERROR(VLOOKUP(A20,Info!B:AK,5,0),"")</f>
        <v/>
      </c>
      <c r="D20" s="5" t="str">
        <f>+IFERROR(VLOOKUP(A20,Info!B:AK,8,0),"")</f>
        <v/>
      </c>
      <c r="E20" s="6" t="str">
        <f>+IFERROR(VLOOKUP(A20,Info!B:AK,16,0),"")</f>
        <v/>
      </c>
      <c r="F20" s="16" t="str">
        <f>+IFERROR(VLOOKUP(A20,Info!B:AK,18,0),"")</f>
        <v/>
      </c>
      <c r="G20" s="5" t="str">
        <f>IF(SUM(IFERROR(VLOOKUP(A20,Info!B:AK,16,0),0),IFERROR(VLOOKUP(A20,Info!B:AK,17,0),0))=0,"",SUM(IFERROR(VLOOKUP(A20,Info!B:AK,16,0),0),IFERROR(VLOOKUP(A20,Info!B:AK,17,0),0)))</f>
        <v/>
      </c>
      <c r="H20" s="7" t="str">
        <f>+IFERROR(VLOOKUP(A20,Info!B:AK,13,0),"")</f>
        <v/>
      </c>
      <c r="I20" s="8" t="str">
        <f>+IFERROR(VLOOKUP(A20,Info!B:AK,15,0),"")</f>
        <v/>
      </c>
      <c r="J20" s="39" t="str">
        <f>+IFERROR(VLOOKUP(A20,Info!B:AK,25,0),"")</f>
        <v/>
      </c>
      <c r="K20" s="40" t="str">
        <f t="shared" si="1"/>
        <v/>
      </c>
      <c r="L20" s="5" t="str">
        <f>+IFERROR(VLOOKUP(A20,Info!B:AK,27,0),"")</f>
        <v/>
      </c>
      <c r="M20" s="29" t="str">
        <f>+IFERROR(VLOOKUP(A20,Info!B:AK,21,0),"")</f>
        <v/>
      </c>
      <c r="N20" s="41"/>
      <c r="O20" s="42" t="str">
        <f>+IFERROR(VLOOKUP(A20,Info!B:AK,22,0),"")</f>
        <v/>
      </c>
    </row>
    <row r="21" spans="1:15" ht="15" customHeight="1" x14ac:dyDescent="0.2">
      <c r="A21" s="22">
        <f t="shared" si="2"/>
        <v>14</v>
      </c>
      <c r="B21" s="22" t="str">
        <f>+IFERROR(VLOOKUP(A21,Info!B:AK,3,0),"")</f>
        <v/>
      </c>
      <c r="C21" s="22" t="str">
        <f>+IFERROR(VLOOKUP(A21,Info!B:AK,5,0),"")</f>
        <v/>
      </c>
      <c r="D21" s="22" t="str">
        <f>+IFERROR(VLOOKUP(A21,Info!B:AK,8,0),"")</f>
        <v/>
      </c>
      <c r="E21" s="23" t="str">
        <f>+IFERROR(VLOOKUP(A21,Info!B:AK,16,0),"")</f>
        <v/>
      </c>
      <c r="F21" s="27" t="str">
        <f>+IFERROR(VLOOKUP(A21,Info!B:AK,18,0),"")</f>
        <v/>
      </c>
      <c r="G21" s="22" t="str">
        <f>IF(SUM(IFERROR(VLOOKUP(A21,Info!B:AK,16,0),0),IFERROR(VLOOKUP(A21,Info!B:AK,17,0),0))=0,"",SUM(IFERROR(VLOOKUP(A21,Info!B:AK,16,0),0),IFERROR(VLOOKUP(A21,Info!B:AK,17,0),0)))</f>
        <v/>
      </c>
      <c r="H21" s="25" t="str">
        <f>+IFERROR(VLOOKUP(A21,Info!B:AK,13,0),"")</f>
        <v/>
      </c>
      <c r="I21" s="26" t="str">
        <f>+IFERROR(VLOOKUP(A21,Info!B:AK,15,0),"")</f>
        <v/>
      </c>
      <c r="J21" s="43" t="str">
        <f>+IFERROR(VLOOKUP(A21,Info!B:AK,25,0),"")</f>
        <v/>
      </c>
      <c r="K21" s="44" t="str">
        <f t="shared" si="1"/>
        <v/>
      </c>
      <c r="L21" s="22" t="str">
        <f>+IFERROR(VLOOKUP(A21,Info!B:AK,27,0),"")</f>
        <v/>
      </c>
      <c r="M21" s="30" t="str">
        <f>+IFERROR(VLOOKUP(A21,Info!B:AK,21,0),"")</f>
        <v/>
      </c>
      <c r="N21" s="45"/>
      <c r="O21" s="46" t="str">
        <f>+IFERROR(VLOOKUP(A21,Info!B:AK,22,0),"")</f>
        <v/>
      </c>
    </row>
    <row r="22" spans="1:15" ht="15" customHeight="1" x14ac:dyDescent="0.2">
      <c r="A22" s="5">
        <f t="shared" si="2"/>
        <v>15</v>
      </c>
      <c r="B22" s="5" t="str">
        <f>+IFERROR(VLOOKUP(A22,Info!B:AK,3,0),"")</f>
        <v/>
      </c>
      <c r="C22" s="5" t="str">
        <f>+IFERROR(VLOOKUP(A22,Info!B:AK,5,0),"")</f>
        <v/>
      </c>
      <c r="D22" s="5" t="str">
        <f>+IFERROR(VLOOKUP(A22,Info!B:AK,8,0),"")</f>
        <v/>
      </c>
      <c r="E22" s="6" t="str">
        <f>+IFERROR(VLOOKUP(A22,Info!B:AK,16,0),"")</f>
        <v/>
      </c>
      <c r="F22" s="16" t="str">
        <f>+IFERROR(VLOOKUP(A22,Info!B:AK,18,0),"")</f>
        <v/>
      </c>
      <c r="G22" s="5" t="str">
        <f>IF(SUM(IFERROR(VLOOKUP(A22,Info!B:AK,16,0),0),IFERROR(VLOOKUP(A22,Info!B:AK,17,0),0))=0,"",SUM(IFERROR(VLOOKUP(A22,Info!B:AK,16,0),0),IFERROR(VLOOKUP(A22,Info!B:AK,17,0),0)))</f>
        <v/>
      </c>
      <c r="H22" s="7" t="str">
        <f>+IFERROR(VLOOKUP(A22,Info!B:AK,13,0),"")</f>
        <v/>
      </c>
      <c r="I22" s="8" t="str">
        <f>+IFERROR(VLOOKUP(A22,Info!B:AK,15,0),"")</f>
        <v/>
      </c>
      <c r="J22" s="39" t="str">
        <f>+IFERROR(VLOOKUP(A22,Info!B:AK,25,0),"")</f>
        <v/>
      </c>
      <c r="K22" s="40" t="str">
        <f t="shared" si="1"/>
        <v/>
      </c>
      <c r="L22" s="5" t="str">
        <f>+IFERROR(VLOOKUP(A22,Info!B:AK,27,0),"")</f>
        <v/>
      </c>
      <c r="M22" s="29" t="str">
        <f>+IFERROR(VLOOKUP(A22,Info!B:AK,21,0),"")</f>
        <v/>
      </c>
      <c r="N22" s="41"/>
      <c r="O22" s="42" t="str">
        <f>+IFERROR(VLOOKUP(A22,Info!B:AK,22,0),"")</f>
        <v/>
      </c>
    </row>
    <row r="23" spans="1:15" ht="15" customHeight="1" x14ac:dyDescent="0.2">
      <c r="A23" s="22">
        <f t="shared" si="2"/>
        <v>16</v>
      </c>
      <c r="B23" s="22" t="str">
        <f>+IFERROR(VLOOKUP(A23,Info!B:AK,3,0),"")</f>
        <v/>
      </c>
      <c r="C23" s="22" t="str">
        <f>+IFERROR(VLOOKUP(A23,Info!B:AK,5,0),"")</f>
        <v/>
      </c>
      <c r="D23" s="22" t="str">
        <f>+IFERROR(VLOOKUP(A23,Info!B:AK,8,0),"")</f>
        <v/>
      </c>
      <c r="E23" s="23" t="str">
        <f>+IFERROR(VLOOKUP(A23,Info!B:AK,16,0),"")</f>
        <v/>
      </c>
      <c r="F23" s="27" t="str">
        <f>+IFERROR(VLOOKUP(A23,Info!B:AK,18,0),"")</f>
        <v/>
      </c>
      <c r="G23" s="22" t="str">
        <f>IF(SUM(IFERROR(VLOOKUP(A23,Info!B:AK,16,0),0),IFERROR(VLOOKUP(A23,Info!B:AK,17,0),0))=0,"",SUM(IFERROR(VLOOKUP(A23,Info!B:AK,16,0),0),IFERROR(VLOOKUP(A23,Info!B:AK,17,0),0)))</f>
        <v/>
      </c>
      <c r="H23" s="25" t="str">
        <f>+IFERROR(VLOOKUP(A23,Info!B:AK,13,0),"")</f>
        <v/>
      </c>
      <c r="I23" s="26" t="str">
        <f>+IFERROR(VLOOKUP(A23,Info!B:AK,15,0),"")</f>
        <v/>
      </c>
      <c r="J23" s="43" t="str">
        <f>+IFERROR(VLOOKUP(A23,Info!B:AK,25,0),"")</f>
        <v/>
      </c>
      <c r="K23" s="44" t="str">
        <f t="shared" si="1"/>
        <v/>
      </c>
      <c r="L23" s="22" t="str">
        <f>+IFERROR(VLOOKUP(A23,Info!B:AK,27,0),"")</f>
        <v/>
      </c>
      <c r="M23" s="30" t="str">
        <f>+IFERROR(VLOOKUP(A23,Info!B:AK,21,0),"")</f>
        <v/>
      </c>
      <c r="N23" s="45"/>
      <c r="O23" s="46" t="str">
        <f>+IFERROR(VLOOKUP(A23,Info!B:AK,22,0),"")</f>
        <v/>
      </c>
    </row>
    <row r="24" spans="1:15" ht="15" customHeight="1" x14ac:dyDescent="0.2">
      <c r="A24" s="5">
        <f t="shared" si="2"/>
        <v>17</v>
      </c>
      <c r="B24" s="5" t="str">
        <f>+IFERROR(VLOOKUP(A24,Info!B:AK,3,0),"")</f>
        <v/>
      </c>
      <c r="C24" s="5" t="str">
        <f>+IFERROR(VLOOKUP(A24,Info!B:AK,5,0),"")</f>
        <v/>
      </c>
      <c r="D24" s="5" t="str">
        <f>+IFERROR(VLOOKUP(A24,Info!B:AK,8,0),"")</f>
        <v/>
      </c>
      <c r="E24" s="6" t="str">
        <f>+IFERROR(VLOOKUP(A24,Info!B:AK,16,0),"")</f>
        <v/>
      </c>
      <c r="F24" s="16" t="str">
        <f>+IFERROR(VLOOKUP(A24,Info!B:AK,18,0),"")</f>
        <v/>
      </c>
      <c r="G24" s="5" t="str">
        <f>IF(SUM(IFERROR(VLOOKUP(A24,Info!B:AK,16,0),0),IFERROR(VLOOKUP(A24,Info!B:AK,17,0),0))=0,"",SUM(IFERROR(VLOOKUP(A24,Info!B:AK,16,0),0),IFERROR(VLOOKUP(A24,Info!B:AK,17,0),0)))</f>
        <v/>
      </c>
      <c r="H24" s="7" t="str">
        <f>+IFERROR(VLOOKUP(A24,Info!B:AK,13,0),"")</f>
        <v/>
      </c>
      <c r="I24" s="8" t="str">
        <f>+IFERROR(VLOOKUP(A24,Info!B:AK,15,0),"")</f>
        <v/>
      </c>
      <c r="J24" s="39" t="str">
        <f>+IFERROR(VLOOKUP(A24,Info!B:AK,25,0),"")</f>
        <v/>
      </c>
      <c r="K24" s="40" t="str">
        <f t="shared" si="1"/>
        <v/>
      </c>
      <c r="L24" s="5" t="str">
        <f>+IFERROR(VLOOKUP(A24,Info!B:AK,27,0),"")</f>
        <v/>
      </c>
      <c r="M24" s="29" t="str">
        <f>+IFERROR(VLOOKUP(A24,Info!B:AK,21,0),"")</f>
        <v/>
      </c>
      <c r="N24" s="41"/>
      <c r="O24" s="42" t="str">
        <f>+IFERROR(VLOOKUP(A24,Info!B:AK,22,0),"")</f>
        <v/>
      </c>
    </row>
    <row r="25" spans="1:15" ht="15" customHeight="1" x14ac:dyDescent="0.2">
      <c r="A25" s="22">
        <f t="shared" si="2"/>
        <v>18</v>
      </c>
      <c r="B25" s="22" t="str">
        <f>+IFERROR(VLOOKUP(A25,Info!B:AK,3,0),"")</f>
        <v/>
      </c>
      <c r="C25" s="22" t="str">
        <f>+IFERROR(VLOOKUP(A25,Info!B:AK,5,0),"")</f>
        <v/>
      </c>
      <c r="D25" s="22" t="str">
        <f>+IFERROR(VLOOKUP(A25,Info!B:AK,8,0),"")</f>
        <v/>
      </c>
      <c r="E25" s="23" t="str">
        <f>+IFERROR(VLOOKUP(A25,Info!B:AK,16,0),"")</f>
        <v/>
      </c>
      <c r="F25" s="27" t="str">
        <f>+IFERROR(VLOOKUP(A25,Info!B:AK,18,0),"")</f>
        <v/>
      </c>
      <c r="G25" s="22" t="str">
        <f>IF(SUM(IFERROR(VLOOKUP(A25,Info!B:AK,16,0),0),IFERROR(VLOOKUP(A25,Info!B:AK,17,0),0))=0,"",SUM(IFERROR(VLOOKUP(A25,Info!B:AK,16,0),0),IFERROR(VLOOKUP(A25,Info!B:AK,17,0),0)))</f>
        <v/>
      </c>
      <c r="H25" s="25" t="str">
        <f>+IFERROR(VLOOKUP(A25,Info!B:AK,13,0),"")</f>
        <v/>
      </c>
      <c r="I25" s="26" t="str">
        <f>+IFERROR(VLOOKUP(A25,Info!B:AK,15,0),"")</f>
        <v/>
      </c>
      <c r="J25" s="43" t="str">
        <f>+IFERROR(VLOOKUP(A25,Info!B:AK,25,0),"")</f>
        <v/>
      </c>
      <c r="K25" s="44" t="str">
        <f t="shared" si="1"/>
        <v/>
      </c>
      <c r="L25" s="22" t="str">
        <f>+IFERROR(VLOOKUP(A25,Info!B:AK,27,0),"")</f>
        <v/>
      </c>
      <c r="M25" s="30" t="str">
        <f>+IFERROR(VLOOKUP(A25,Info!B:AK,21,0),"")</f>
        <v/>
      </c>
      <c r="N25" s="45"/>
      <c r="O25" s="46" t="str">
        <f>+IFERROR(VLOOKUP(A25,Info!B:AK,22,0),"")</f>
        <v/>
      </c>
    </row>
    <row r="26" spans="1:15" ht="15" customHeight="1" x14ac:dyDescent="0.2">
      <c r="A26" s="5">
        <f t="shared" si="2"/>
        <v>19</v>
      </c>
      <c r="B26" s="5" t="str">
        <f>+IFERROR(VLOOKUP(A26,Info!B:AK,3,0),"")</f>
        <v/>
      </c>
      <c r="C26" s="5" t="str">
        <f>+IFERROR(VLOOKUP(A26,Info!B:AK,5,0),"")</f>
        <v/>
      </c>
      <c r="D26" s="5" t="str">
        <f>+IFERROR(VLOOKUP(A26,Info!B:AK,8,0),"")</f>
        <v/>
      </c>
      <c r="E26" s="6" t="str">
        <f>+IFERROR(VLOOKUP(A26,Info!B:AK,16,0),"")</f>
        <v/>
      </c>
      <c r="F26" s="16" t="str">
        <f>+IFERROR(VLOOKUP(A26,Info!B:AK,18,0),"")</f>
        <v/>
      </c>
      <c r="G26" s="5" t="str">
        <f>IF(SUM(IFERROR(VLOOKUP(A26,Info!B:AK,16,0),0),IFERROR(VLOOKUP(A26,Info!B:AK,17,0),0))=0,"",SUM(IFERROR(VLOOKUP(A26,Info!B:AK,16,0),0),IFERROR(VLOOKUP(A26,Info!B:AK,17,0),0)))</f>
        <v/>
      </c>
      <c r="H26" s="7" t="str">
        <f>+IFERROR(VLOOKUP(A26,Info!B:AK,13,0),"")</f>
        <v/>
      </c>
      <c r="I26" s="8" t="str">
        <f>+IFERROR(VLOOKUP(A26,Info!B:AK,15,0),"")</f>
        <v/>
      </c>
      <c r="J26" s="39" t="str">
        <f>+IFERROR(VLOOKUP(A26,Info!B:AK,25,0),"")</f>
        <v/>
      </c>
      <c r="K26" s="40" t="str">
        <f t="shared" si="1"/>
        <v/>
      </c>
      <c r="L26" s="5" t="str">
        <f>+IFERROR(VLOOKUP(A26,Info!B:AK,27,0),"")</f>
        <v/>
      </c>
      <c r="M26" s="29" t="str">
        <f>+IFERROR(VLOOKUP(A26,Info!B:AK,21,0),"")</f>
        <v/>
      </c>
      <c r="N26" s="41"/>
      <c r="O26" s="42" t="str">
        <f>+IFERROR(VLOOKUP(A26,Info!B:AK,22,0),"")</f>
        <v/>
      </c>
    </row>
    <row r="27" spans="1:15" ht="15" customHeight="1" x14ac:dyDescent="0.2">
      <c r="A27" s="22">
        <f t="shared" si="2"/>
        <v>20</v>
      </c>
      <c r="B27" s="22" t="str">
        <f>+IFERROR(VLOOKUP(A27,Info!B:AK,3,0),"")</f>
        <v/>
      </c>
      <c r="C27" s="22" t="str">
        <f>+IFERROR(VLOOKUP(A27,Info!B:AK,5,0),"")</f>
        <v/>
      </c>
      <c r="D27" s="22" t="str">
        <f>+IFERROR(VLOOKUP(A27,Info!B:AK,8,0),"")</f>
        <v/>
      </c>
      <c r="E27" s="23" t="str">
        <f>+IFERROR(VLOOKUP(A27,Info!B:AK,16,0),"")</f>
        <v/>
      </c>
      <c r="F27" s="27" t="str">
        <f>+IFERROR(VLOOKUP(A27,Info!B:AK,18,0),"")</f>
        <v/>
      </c>
      <c r="G27" s="22" t="str">
        <f>IF(SUM(IFERROR(VLOOKUP(A27,Info!B:AK,16,0),0),IFERROR(VLOOKUP(A27,Info!B:AK,17,0),0))=0,"",SUM(IFERROR(VLOOKUP(A27,Info!B:AK,16,0),0),IFERROR(VLOOKUP(A27,Info!B:AK,17,0),0)))</f>
        <v/>
      </c>
      <c r="H27" s="25" t="str">
        <f>+IFERROR(VLOOKUP(A27,Info!B:AK,13,0),"")</f>
        <v/>
      </c>
      <c r="I27" s="26" t="str">
        <f>+IFERROR(VLOOKUP(A27,Info!B:AK,15,0),"")</f>
        <v/>
      </c>
      <c r="J27" s="43" t="str">
        <f>+IFERROR(VLOOKUP(A27,Info!B:AK,25,0),"")</f>
        <v/>
      </c>
      <c r="K27" s="44" t="str">
        <f t="shared" si="1"/>
        <v/>
      </c>
      <c r="L27" s="22" t="str">
        <f>+IFERROR(VLOOKUP(A27,Info!B:AK,27,0),"")</f>
        <v/>
      </c>
      <c r="M27" s="30" t="str">
        <f>+IFERROR(VLOOKUP(A27,Info!B:AK,21,0),"")</f>
        <v/>
      </c>
      <c r="N27" s="45"/>
      <c r="O27" s="46" t="str">
        <f>+IFERROR(VLOOKUP(A27,Info!B:AK,22,0),"")</f>
        <v/>
      </c>
    </row>
    <row r="28" spans="1:15" ht="15" customHeight="1" x14ac:dyDescent="0.2">
      <c r="A28" s="5">
        <f t="shared" si="2"/>
        <v>21</v>
      </c>
      <c r="B28" s="5" t="str">
        <f>+IFERROR(VLOOKUP(A28,Info!B:AK,3,0),"")</f>
        <v/>
      </c>
      <c r="C28" s="5" t="str">
        <f>+IFERROR(VLOOKUP(A28,Info!B:AK,5,0),"")</f>
        <v/>
      </c>
      <c r="D28" s="5" t="str">
        <f>+IFERROR(VLOOKUP(A28,Info!B:AK,8,0),"")</f>
        <v/>
      </c>
      <c r="E28" s="6" t="str">
        <f>+IFERROR(VLOOKUP(A28,Info!B:AK,16,0),"")</f>
        <v/>
      </c>
      <c r="F28" s="16" t="str">
        <f>+IFERROR(VLOOKUP(A28,Info!B:AK,18,0),"")</f>
        <v/>
      </c>
      <c r="G28" s="5" t="str">
        <f>IF(SUM(IFERROR(VLOOKUP(A28,Info!B:AK,16,0),0),IFERROR(VLOOKUP(A28,Info!B:AK,17,0),0))=0,"",SUM(IFERROR(VLOOKUP(A28,Info!B:AK,16,0),0),IFERROR(VLOOKUP(A28,Info!B:AK,17,0),0)))</f>
        <v/>
      </c>
      <c r="H28" s="7" t="str">
        <f>+IFERROR(VLOOKUP(A28,Info!B:AK,13,0),"")</f>
        <v/>
      </c>
      <c r="I28" s="8" t="str">
        <f>+IFERROR(VLOOKUP(A28,Info!B:AK,15,0),"")</f>
        <v/>
      </c>
      <c r="J28" s="39" t="str">
        <f>+IFERROR(VLOOKUP(A28,Info!B:AK,25,0),"")</f>
        <v/>
      </c>
      <c r="K28" s="40" t="str">
        <f t="shared" si="1"/>
        <v/>
      </c>
      <c r="L28" s="5" t="str">
        <f>+IFERROR(VLOOKUP(A28,Info!B:AK,27,0),"")</f>
        <v/>
      </c>
      <c r="M28" s="29" t="str">
        <f>+IFERROR(VLOOKUP(A28,Info!B:AK,21,0),"")</f>
        <v/>
      </c>
      <c r="N28" s="41"/>
      <c r="O28" s="42" t="str">
        <f>+IFERROR(VLOOKUP(A28,Info!B:AK,22,0),"")</f>
        <v/>
      </c>
    </row>
    <row r="29" spans="1:15" ht="15" customHeight="1" x14ac:dyDescent="0.2">
      <c r="A29" s="22">
        <f t="shared" si="2"/>
        <v>22</v>
      </c>
      <c r="B29" s="22" t="str">
        <f>+IFERROR(VLOOKUP(A29,Info!B:AK,3,0),"")</f>
        <v/>
      </c>
      <c r="C29" s="22" t="str">
        <f>+IFERROR(VLOOKUP(A29,Info!B:AK,5,0),"")</f>
        <v/>
      </c>
      <c r="D29" s="22" t="str">
        <f>+IFERROR(VLOOKUP(A29,Info!B:AK,8,0),"")</f>
        <v/>
      </c>
      <c r="E29" s="23" t="str">
        <f>+IFERROR(VLOOKUP(A29,Info!B:AK,16,0),"")</f>
        <v/>
      </c>
      <c r="F29" s="27" t="str">
        <f>+IFERROR(VLOOKUP(A29,Info!B:AK,18,0),"")</f>
        <v/>
      </c>
      <c r="G29" s="22" t="str">
        <f>IF(SUM(IFERROR(VLOOKUP(A29,Info!B:AK,16,0),0),IFERROR(VLOOKUP(A29,Info!B:AK,17,0),0))=0,"",SUM(IFERROR(VLOOKUP(A29,Info!B:AK,16,0),0),IFERROR(VLOOKUP(A29,Info!B:AK,17,0),0)))</f>
        <v/>
      </c>
      <c r="H29" s="25" t="str">
        <f>+IFERROR(VLOOKUP(A29,Info!B:AK,13,0),"")</f>
        <v/>
      </c>
      <c r="I29" s="26" t="str">
        <f>+IFERROR(VLOOKUP(A29,Info!B:AK,15,0),"")</f>
        <v/>
      </c>
      <c r="J29" s="43" t="str">
        <f>+IFERROR(VLOOKUP(A29,Info!B:AK,25,0),"")</f>
        <v/>
      </c>
      <c r="K29" s="44" t="str">
        <f t="shared" si="1"/>
        <v/>
      </c>
      <c r="L29" s="22" t="str">
        <f>+IFERROR(VLOOKUP(A29,Info!B:AK,27,0),"")</f>
        <v/>
      </c>
      <c r="M29" s="30" t="str">
        <f>+IFERROR(VLOOKUP(A29,Info!B:AK,21,0),"")</f>
        <v/>
      </c>
      <c r="N29" s="45"/>
      <c r="O29" s="46" t="str">
        <f>+IFERROR(VLOOKUP(A29,Info!B:AK,22,0),"")</f>
        <v/>
      </c>
    </row>
    <row r="30" spans="1:15" ht="15" customHeight="1" x14ac:dyDescent="0.2">
      <c r="A30" s="5">
        <f t="shared" si="2"/>
        <v>23</v>
      </c>
      <c r="B30" s="5" t="str">
        <f>+IFERROR(VLOOKUP(A30,Info!B:AK,3,0),"")</f>
        <v/>
      </c>
      <c r="C30" s="5" t="str">
        <f>+IFERROR(VLOOKUP(A30,Info!B:AK,5,0),"")</f>
        <v/>
      </c>
      <c r="D30" s="5" t="str">
        <f>+IFERROR(VLOOKUP(A30,Info!B:AK,8,0),"")</f>
        <v/>
      </c>
      <c r="E30" s="6" t="str">
        <f>+IFERROR(VLOOKUP(A30,Info!B:AK,16,0),"")</f>
        <v/>
      </c>
      <c r="F30" s="16" t="str">
        <f>+IFERROR(VLOOKUP(A30,Info!B:AK,18,0),"")</f>
        <v/>
      </c>
      <c r="G30" s="5" t="str">
        <f>IF(SUM(IFERROR(VLOOKUP(A30,Info!B:AK,16,0),0),IFERROR(VLOOKUP(A30,Info!B:AK,17,0),0))=0,"",SUM(IFERROR(VLOOKUP(A30,Info!B:AK,16,0),0),IFERROR(VLOOKUP(A30,Info!B:AK,17,0),0)))</f>
        <v/>
      </c>
      <c r="H30" s="7" t="str">
        <f>+IFERROR(VLOOKUP(A30,Info!B:AK,13,0),"")</f>
        <v/>
      </c>
      <c r="I30" s="8" t="str">
        <f>+IFERROR(VLOOKUP(A30,Info!B:AK,15,0),"")</f>
        <v/>
      </c>
      <c r="J30" s="39" t="str">
        <f>+IFERROR(VLOOKUP(A30,Info!B:AK,25,0),"")</f>
        <v/>
      </c>
      <c r="K30" s="40" t="str">
        <f t="shared" si="1"/>
        <v/>
      </c>
      <c r="L30" s="5" t="str">
        <f>+IFERROR(VLOOKUP(A30,Info!B:AK,27,0),"")</f>
        <v/>
      </c>
      <c r="M30" s="29" t="str">
        <f>+IFERROR(VLOOKUP(A30,Info!B:AK,21,0),"")</f>
        <v/>
      </c>
      <c r="N30" s="41"/>
      <c r="O30" s="42" t="str">
        <f>+IFERROR(VLOOKUP(A30,Info!B:AK,22,0),"")</f>
        <v/>
      </c>
    </row>
    <row r="31" spans="1:15" ht="15" customHeight="1" x14ac:dyDescent="0.2">
      <c r="A31" s="22">
        <f t="shared" si="2"/>
        <v>24</v>
      </c>
      <c r="B31" s="22" t="str">
        <f>+IFERROR(VLOOKUP(A31,Info!B:AK,3,0),"")</f>
        <v/>
      </c>
      <c r="C31" s="22" t="str">
        <f>+IFERROR(VLOOKUP(A31,Info!B:AK,5,0),"")</f>
        <v/>
      </c>
      <c r="D31" s="22" t="str">
        <f>+IFERROR(VLOOKUP(A31,Info!B:AK,8,0),"")</f>
        <v/>
      </c>
      <c r="E31" s="23" t="str">
        <f>+IFERROR(VLOOKUP(A31,Info!B:AK,16,0),"")</f>
        <v/>
      </c>
      <c r="F31" s="27" t="str">
        <f>+IFERROR(VLOOKUP(A31,Info!B:AK,18,0),"")</f>
        <v/>
      </c>
      <c r="G31" s="22" t="str">
        <f>IF(SUM(IFERROR(VLOOKUP(A31,Info!B:AK,16,0),0),IFERROR(VLOOKUP(A31,Info!B:AK,17,0),0))=0,"",SUM(IFERROR(VLOOKUP(A31,Info!B:AK,16,0),0),IFERROR(VLOOKUP(A31,Info!B:AK,17,0),0)))</f>
        <v/>
      </c>
      <c r="H31" s="25" t="str">
        <f>+IFERROR(VLOOKUP(A31,Info!B:AK,13,0),"")</f>
        <v/>
      </c>
      <c r="I31" s="26" t="str">
        <f>+IFERROR(VLOOKUP(A31,Info!B:AK,15,0),"")</f>
        <v/>
      </c>
      <c r="J31" s="43" t="str">
        <f>+IFERROR(VLOOKUP(A31,Info!B:AK,25,0),"")</f>
        <v/>
      </c>
      <c r="K31" s="44" t="str">
        <f t="shared" si="1"/>
        <v/>
      </c>
      <c r="L31" s="22" t="str">
        <f>+IFERROR(VLOOKUP(A31,Info!B:AK,27,0),"")</f>
        <v/>
      </c>
      <c r="M31" s="30" t="str">
        <f>+IFERROR(VLOOKUP(A31,Info!B:AK,21,0),"")</f>
        <v/>
      </c>
      <c r="N31" s="45"/>
      <c r="O31" s="46" t="str">
        <f>+IFERROR(VLOOKUP(A31,Info!B:AK,22,0),"")</f>
        <v/>
      </c>
    </row>
    <row r="32" spans="1:15" ht="15" customHeight="1" thickBot="1" x14ac:dyDescent="0.25">
      <c r="A32" s="5">
        <f t="shared" si="2"/>
        <v>25</v>
      </c>
      <c r="B32" s="5" t="str">
        <f>+IFERROR(VLOOKUP(A32,Info!B:AK,3,0),"")</f>
        <v/>
      </c>
      <c r="C32" s="5" t="str">
        <f>+IFERROR(VLOOKUP(A32,Info!B:AK,5,0),"")</f>
        <v/>
      </c>
      <c r="D32" s="5" t="str">
        <f>+IFERROR(VLOOKUP(A32,Info!B:AK,8,0),"")</f>
        <v/>
      </c>
      <c r="E32" s="6" t="str">
        <f>+IFERROR(VLOOKUP(A32,Info!B:AK,16,0),"")</f>
        <v/>
      </c>
      <c r="F32" s="17" t="str">
        <f>+IFERROR(VLOOKUP(A32,Info!B:AK,18,0),"")</f>
        <v/>
      </c>
      <c r="G32" s="5" t="str">
        <f>IF(SUM(IFERROR(VLOOKUP(A32,Info!B:AK,16,0),0),IFERROR(VLOOKUP(A32,Info!B:AK,17,0),0))=0,"",SUM(IFERROR(VLOOKUP(A32,Info!B:AK,16,0),0),IFERROR(VLOOKUP(A32,Info!B:AK,17,0),0)))</f>
        <v/>
      </c>
      <c r="H32" s="7" t="str">
        <f>+IFERROR(VLOOKUP(A32,Info!B:AK,13,0),"")</f>
        <v/>
      </c>
      <c r="I32" s="8" t="str">
        <f>+IFERROR(VLOOKUP(A32,Info!B:AK,15,0),"")</f>
        <v/>
      </c>
      <c r="J32" s="39" t="str">
        <f>+IFERROR(VLOOKUP(A32,Info!B:AK,25,0),"")</f>
        <v/>
      </c>
      <c r="K32" s="40" t="str">
        <f t="shared" si="1"/>
        <v/>
      </c>
      <c r="L32" s="5" t="str">
        <f>+IFERROR(VLOOKUP(A32,Info!B:AK,27,0),"")</f>
        <v/>
      </c>
      <c r="M32" s="29" t="str">
        <f>+IFERROR(VLOOKUP(A32,Info!B:AK,21,0),"")</f>
        <v/>
      </c>
      <c r="N32" s="41"/>
      <c r="O32" s="42" t="str">
        <f>+IFERROR(VLOOKUP(A32,Info!B:AK,22,0),"")</f>
        <v/>
      </c>
    </row>
    <row r="33" spans="1:18" ht="15.75" customHeight="1" thickBot="1" x14ac:dyDescent="0.25">
      <c r="A33" s="47" t="str">
        <f>IF(B8="","",COUNT(B8:B32))</f>
        <v/>
      </c>
      <c r="B33" s="102" t="s">
        <v>16</v>
      </c>
      <c r="C33" s="102"/>
      <c r="D33" s="103"/>
      <c r="E33" s="9">
        <f>SUM(E8:E32)</f>
        <v>0</v>
      </c>
      <c r="F33" s="48"/>
      <c r="G33" s="49">
        <f t="shared" ref="G33:K33" si="3">SUM(G8:G32)</f>
        <v>0</v>
      </c>
      <c r="H33" s="50">
        <f t="shared" si="3"/>
        <v>0</v>
      </c>
      <c r="I33" s="50">
        <f t="shared" si="3"/>
        <v>0</v>
      </c>
      <c r="J33" s="51">
        <f t="shared" si="3"/>
        <v>0</v>
      </c>
      <c r="K33" s="52">
        <f t="shared" si="3"/>
        <v>0</v>
      </c>
      <c r="L33" s="53">
        <f>SUM(L8:L32)</f>
        <v>0</v>
      </c>
      <c r="M33" s="31"/>
      <c r="N33" s="31">
        <f>SUM(N8:N32)*0.6</f>
        <v>0</v>
      </c>
      <c r="O33" s="54"/>
    </row>
    <row r="34" spans="1:18" ht="13.5" x14ac:dyDescent="0.2">
      <c r="A34" s="10"/>
      <c r="B34" s="10"/>
      <c r="C34" s="10"/>
      <c r="D34" s="10"/>
      <c r="E34" s="11"/>
      <c r="F34" s="31"/>
      <c r="G34" s="31"/>
      <c r="H34" s="31"/>
      <c r="I34" s="31"/>
      <c r="J34" s="55"/>
      <c r="K34" s="56"/>
      <c r="L34" s="31"/>
      <c r="M34" s="31"/>
      <c r="N34" s="31"/>
      <c r="O34" s="54"/>
    </row>
    <row r="35" spans="1:18" ht="15" customHeight="1" x14ac:dyDescent="0.2">
      <c r="B35" s="93" t="s">
        <v>17</v>
      </c>
      <c r="C35" s="93"/>
      <c r="D35" s="12"/>
      <c r="E35" s="57" t="s">
        <v>18</v>
      </c>
      <c r="F35" s="94" t="s">
        <v>19</v>
      </c>
      <c r="G35" s="94"/>
      <c r="H35" s="94"/>
      <c r="I35" s="94"/>
      <c r="J35" s="94"/>
      <c r="K35" s="92" t="s">
        <v>20</v>
      </c>
      <c r="L35" s="92"/>
      <c r="M35" s="95"/>
      <c r="N35" s="95"/>
      <c r="O35" s="95"/>
    </row>
    <row r="36" spans="1:18" ht="13.5" x14ac:dyDescent="0.2">
      <c r="B36" s="34"/>
      <c r="C36" s="34"/>
      <c r="D36" s="34"/>
      <c r="E36" s="34"/>
      <c r="F36" s="34"/>
      <c r="G36" s="34"/>
      <c r="H36" s="34"/>
      <c r="L36" s="34"/>
      <c r="N36" s="34"/>
      <c r="O36" s="54"/>
    </row>
    <row r="37" spans="1:18" ht="13.5" x14ac:dyDescent="0.2">
      <c r="B37" s="93" t="s">
        <v>21</v>
      </c>
      <c r="C37" s="93"/>
      <c r="D37" s="60"/>
      <c r="E37" s="32" t="s">
        <v>21</v>
      </c>
      <c r="F37" s="60"/>
      <c r="G37" s="33"/>
      <c r="H37" s="60"/>
      <c r="I37" s="33"/>
      <c r="J37" s="61"/>
      <c r="K37" s="32" t="s">
        <v>21</v>
      </c>
      <c r="L37" s="60"/>
      <c r="M37" s="33"/>
      <c r="N37" s="60"/>
      <c r="O37" s="62"/>
    </row>
    <row r="38" spans="1:18" ht="13.5" x14ac:dyDescent="0.2">
      <c r="B38" s="34"/>
      <c r="C38" s="34"/>
      <c r="D38" s="34"/>
      <c r="E38" s="34"/>
      <c r="F38" s="34"/>
      <c r="G38" s="34"/>
      <c r="H38" s="34"/>
      <c r="L38" s="34"/>
      <c r="M38" s="34"/>
      <c r="N38" s="34"/>
      <c r="O38" s="54"/>
      <c r="P38" s="13"/>
      <c r="Q38" s="13"/>
      <c r="R38" s="13"/>
    </row>
    <row r="39" spans="1:18" ht="13.5" x14ac:dyDescent="0.2">
      <c r="B39" s="34"/>
      <c r="C39" s="34"/>
      <c r="D39" s="34"/>
      <c r="E39" s="34"/>
      <c r="F39" s="34"/>
      <c r="G39" s="34"/>
      <c r="H39" s="34"/>
      <c r="L39" s="34"/>
      <c r="M39" s="34"/>
      <c r="N39" s="34"/>
    </row>
    <row r="40" spans="1:18" ht="13.5" x14ac:dyDescent="0.2">
      <c r="B40" s="34"/>
      <c r="C40" s="34"/>
      <c r="D40" s="34"/>
      <c r="E40" s="34"/>
      <c r="F40" s="34"/>
      <c r="G40" s="34"/>
      <c r="H40" s="34"/>
      <c r="L40" s="34"/>
      <c r="M40" s="34"/>
      <c r="N40" s="34"/>
    </row>
    <row r="41" spans="1:18" ht="13.5" x14ac:dyDescent="0.2">
      <c r="B41" s="34"/>
      <c r="C41" s="34"/>
      <c r="D41" s="34"/>
      <c r="E41" s="34"/>
      <c r="F41" s="34"/>
      <c r="G41" s="34"/>
      <c r="H41" s="34"/>
      <c r="L41" s="34"/>
      <c r="M41" s="34"/>
      <c r="N41" s="34"/>
    </row>
    <row r="42" spans="1:18" ht="13.5" x14ac:dyDescent="0.2">
      <c r="B42" s="34"/>
      <c r="C42" s="34"/>
      <c r="D42" s="34"/>
      <c r="E42" s="34"/>
      <c r="F42" s="34"/>
      <c r="G42" s="34"/>
      <c r="H42" s="34"/>
      <c r="L42" s="34"/>
      <c r="M42" s="34"/>
      <c r="N42" s="34"/>
    </row>
    <row r="43" spans="1:18" ht="13.5" x14ac:dyDescent="0.2">
      <c r="B43" s="34"/>
      <c r="C43" s="34"/>
      <c r="D43" s="34"/>
      <c r="E43" s="34"/>
      <c r="F43" s="34"/>
      <c r="G43" s="34"/>
      <c r="H43" s="34"/>
      <c r="L43" s="34"/>
      <c r="M43" s="34"/>
      <c r="N43" s="34"/>
    </row>
    <row r="44" spans="1:18" ht="13.5" x14ac:dyDescent="0.2">
      <c r="B44" s="34"/>
      <c r="C44" s="34"/>
      <c r="D44" s="34"/>
      <c r="E44" s="34"/>
      <c r="F44" s="34"/>
      <c r="G44" s="34"/>
      <c r="H44" s="34"/>
      <c r="L44" s="34"/>
      <c r="M44" s="34"/>
      <c r="N44" s="34"/>
    </row>
    <row r="45" spans="1:18" ht="13.5" x14ac:dyDescent="0.2">
      <c r="B45" s="34"/>
      <c r="C45" s="34"/>
      <c r="D45" s="34"/>
      <c r="E45" s="34"/>
      <c r="F45" s="34"/>
      <c r="G45" s="34"/>
      <c r="H45" s="34"/>
      <c r="L45" s="34"/>
      <c r="M45" s="34"/>
      <c r="N45" s="34"/>
    </row>
    <row r="46" spans="1:18" ht="13.5" x14ac:dyDescent="0.2">
      <c r="B46" s="34"/>
      <c r="C46" s="34"/>
      <c r="D46" s="34"/>
      <c r="E46" s="34"/>
      <c r="F46" s="34"/>
      <c r="G46" s="34"/>
      <c r="H46" s="34"/>
      <c r="L46" s="34"/>
      <c r="M46" s="34"/>
      <c r="N46" s="34"/>
    </row>
    <row r="47" spans="1:18" ht="13.5" x14ac:dyDescent="0.2">
      <c r="B47" s="34"/>
      <c r="C47" s="34"/>
      <c r="D47" s="34"/>
      <c r="E47" s="34"/>
      <c r="F47" s="34"/>
      <c r="G47" s="34"/>
      <c r="H47" s="34"/>
      <c r="L47" s="34"/>
      <c r="M47" s="34"/>
      <c r="N47" s="34"/>
    </row>
    <row r="48" spans="1:18" ht="13.5" x14ac:dyDescent="0.2">
      <c r="B48" s="34"/>
      <c r="C48" s="34"/>
      <c r="D48" s="34"/>
      <c r="E48" s="34"/>
      <c r="F48" s="34"/>
      <c r="G48" s="34"/>
      <c r="H48" s="34"/>
      <c r="L48" s="34"/>
      <c r="M48" s="34"/>
      <c r="N48" s="34"/>
    </row>
  </sheetData>
  <sheetProtection selectLockedCells="1"/>
  <mergeCells count="29">
    <mergeCell ref="A1:O1"/>
    <mergeCell ref="A2:O2"/>
    <mergeCell ref="A3:C3"/>
    <mergeCell ref="F3:G3"/>
    <mergeCell ref="K3:L3"/>
    <mergeCell ref="A4:C4"/>
    <mergeCell ref="F4:G4"/>
    <mergeCell ref="K4:L4"/>
    <mergeCell ref="L6:L7"/>
    <mergeCell ref="F6:F7"/>
    <mergeCell ref="A6:A7"/>
    <mergeCell ref="M6:M7"/>
    <mergeCell ref="N6:N7"/>
    <mergeCell ref="O6:O7"/>
    <mergeCell ref="B33:D33"/>
    <mergeCell ref="G6:G7"/>
    <mergeCell ref="H6:H7"/>
    <mergeCell ref="I6:I7"/>
    <mergeCell ref="J6:J7"/>
    <mergeCell ref="K6:K7"/>
    <mergeCell ref="B6:B7"/>
    <mergeCell ref="C6:C7"/>
    <mergeCell ref="D6:D7"/>
    <mergeCell ref="E6:E7"/>
    <mergeCell ref="K35:L35"/>
    <mergeCell ref="B35:C35"/>
    <mergeCell ref="B37:C37"/>
    <mergeCell ref="F35:J35"/>
    <mergeCell ref="M35:O35"/>
  </mergeCells>
  <pageMargins left="0.23622047244094491" right="0.23622047244094491" top="0.35433070866141736" bottom="0.35433070866141736" header="0.31496062992125984" footer="0.31496062992125984"/>
  <pageSetup scale="78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3" tint="0.39997558519241921"/>
    <pageSetUpPr fitToPage="1"/>
  </sheetPr>
  <dimension ref="A1:R48"/>
  <sheetViews>
    <sheetView showGridLines="0" zoomScale="110" zoomScaleNormal="110" workbookViewId="0">
      <selection activeCell="O5" sqref="O5"/>
    </sheetView>
  </sheetViews>
  <sheetFormatPr defaultColWidth="11.42578125" defaultRowHeight="12" x14ac:dyDescent="0.2"/>
  <cols>
    <col min="1" max="1" width="2.7109375" style="32" customWidth="1"/>
    <col min="2" max="2" width="9" style="32" customWidth="1"/>
    <col min="3" max="3" width="5.5703125" style="32" bestFit="1" customWidth="1"/>
    <col min="4" max="4" width="34.5703125" style="32" customWidth="1"/>
    <col min="5" max="5" width="6.5703125" style="32" customWidth="1"/>
    <col min="6" max="6" width="37" style="32" customWidth="1"/>
    <col min="7" max="7" width="9" style="32" customWidth="1"/>
    <col min="8" max="8" width="9.140625" style="32" customWidth="1"/>
    <col min="9" max="9" width="6.7109375" style="32" customWidth="1"/>
    <col min="10" max="10" width="8.5703125" style="58" customWidth="1"/>
    <col min="11" max="11" width="9.28515625" style="59" customWidth="1"/>
    <col min="12" max="12" width="5.85546875" style="32" customWidth="1"/>
    <col min="13" max="13" width="11.85546875" style="32" customWidth="1"/>
    <col min="14" max="14" width="0.42578125" style="32" customWidth="1"/>
    <col min="15" max="15" width="14.42578125" style="32" customWidth="1"/>
    <col min="16" max="16" width="11.42578125" style="1"/>
    <col min="17" max="17" width="11.42578125" style="1" customWidth="1"/>
    <col min="18" max="16384" width="11.42578125" style="1"/>
  </cols>
  <sheetData>
    <row r="1" spans="1:15" ht="18.75" customHeight="1" x14ac:dyDescent="0.2">
      <c r="A1" s="118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ht="18" customHeight="1" thickBot="1" x14ac:dyDescent="0.25">
      <c r="A2" s="118" t="s">
        <v>48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</row>
    <row r="3" spans="1:15" ht="18" customHeight="1" thickBot="1" x14ac:dyDescent="0.25">
      <c r="A3" s="119">
        <v>41841</v>
      </c>
      <c r="B3" s="120"/>
      <c r="C3" s="121"/>
      <c r="D3" s="2"/>
      <c r="F3" s="122">
        <v>230</v>
      </c>
      <c r="G3" s="123"/>
      <c r="H3" s="3" t="s">
        <v>1</v>
      </c>
      <c r="I3" s="2"/>
      <c r="J3" s="20"/>
      <c r="K3" s="124" t="s">
        <v>57</v>
      </c>
      <c r="L3" s="125"/>
      <c r="M3" s="4" t="s">
        <v>2</v>
      </c>
      <c r="N3" s="35"/>
      <c r="O3" s="4">
        <v>25</v>
      </c>
    </row>
    <row r="4" spans="1:15" ht="18" customHeight="1" x14ac:dyDescent="0.2">
      <c r="A4" s="111" t="s">
        <v>3</v>
      </c>
      <c r="B4" s="111"/>
      <c r="C4" s="111"/>
      <c r="D4" s="28"/>
      <c r="F4" s="112" t="s">
        <v>63</v>
      </c>
      <c r="G4" s="112"/>
      <c r="J4" s="36"/>
      <c r="K4" s="113" t="s">
        <v>64</v>
      </c>
      <c r="L4" s="113"/>
      <c r="M4" s="4" t="s">
        <v>4</v>
      </c>
      <c r="N4" s="35"/>
      <c r="O4" s="35">
        <v>49</v>
      </c>
    </row>
    <row r="5" spans="1:15" ht="18" customHeight="1" x14ac:dyDescent="0.2">
      <c r="B5" s="28"/>
      <c r="C5" s="28"/>
      <c r="D5" s="28"/>
      <c r="E5" s="28"/>
      <c r="F5" s="28"/>
      <c r="G5" s="28"/>
      <c r="H5" s="28"/>
      <c r="I5" s="28"/>
      <c r="J5" s="37"/>
      <c r="K5" s="38"/>
      <c r="L5" s="28"/>
      <c r="M5" s="28"/>
      <c r="N5" s="28"/>
      <c r="O5" s="28"/>
    </row>
    <row r="6" spans="1:15" ht="16.5" customHeight="1" x14ac:dyDescent="0.2">
      <c r="A6" s="104" t="s">
        <v>5</v>
      </c>
      <c r="B6" s="108" t="s">
        <v>6</v>
      </c>
      <c r="C6" s="109" t="s">
        <v>7</v>
      </c>
      <c r="D6" s="108" t="s">
        <v>8</v>
      </c>
      <c r="E6" s="104" t="s">
        <v>49</v>
      </c>
      <c r="F6" s="116" t="s">
        <v>62</v>
      </c>
      <c r="G6" s="104" t="s">
        <v>9</v>
      </c>
      <c r="H6" s="104" t="s">
        <v>10</v>
      </c>
      <c r="I6" s="96" t="s">
        <v>11</v>
      </c>
      <c r="J6" s="105" t="s">
        <v>61</v>
      </c>
      <c r="K6" s="107" t="s">
        <v>12</v>
      </c>
      <c r="L6" s="114" t="s">
        <v>13</v>
      </c>
      <c r="M6" s="96" t="s">
        <v>14</v>
      </c>
      <c r="N6" s="98"/>
      <c r="O6" s="100" t="s">
        <v>15</v>
      </c>
    </row>
    <row r="7" spans="1:15" ht="16.5" customHeight="1" x14ac:dyDescent="0.2">
      <c r="A7" s="104"/>
      <c r="B7" s="108"/>
      <c r="C7" s="110"/>
      <c r="D7" s="108"/>
      <c r="E7" s="104"/>
      <c r="F7" s="117"/>
      <c r="G7" s="104"/>
      <c r="H7" s="104"/>
      <c r="I7" s="97"/>
      <c r="J7" s="106"/>
      <c r="K7" s="107"/>
      <c r="L7" s="115"/>
      <c r="M7" s="97"/>
      <c r="N7" s="99"/>
      <c r="O7" s="101"/>
    </row>
    <row r="8" spans="1:15" ht="15" customHeight="1" x14ac:dyDescent="0.2">
      <c r="A8" s="5">
        <f>+O3</f>
        <v>25</v>
      </c>
      <c r="B8" s="5" t="str">
        <f>+IFERROR(VLOOKUP(A8,Info!B:AK,3,0),"")</f>
        <v/>
      </c>
      <c r="C8" s="5" t="str">
        <f>+IFERROR(VLOOKUP(A8,Info!B:AK,5,0),"")</f>
        <v/>
      </c>
      <c r="D8" s="5" t="str">
        <f>+IFERROR(VLOOKUP(A8,Info!B:AK,8,0),"")</f>
        <v/>
      </c>
      <c r="E8" s="6" t="str">
        <f>+IFERROR(VLOOKUP(A8,Info!B:AK,16,0),"")</f>
        <v/>
      </c>
      <c r="F8" s="18" t="str">
        <f>+IFERROR(VLOOKUP(A8,Info!B:AK,18,0),"")</f>
        <v/>
      </c>
      <c r="G8" s="5" t="str">
        <f>IF(SUM(IFERROR(VLOOKUP(A8,Info!B:AK,16,0),0),IFERROR(VLOOKUP(A8,Info!B:AK,17,0),0))=0,"",SUM(IFERROR(VLOOKUP(A8,Info!B:AK,16,0),0),IFERROR(VLOOKUP(A8,Info!B:AK,17,0),0)))</f>
        <v/>
      </c>
      <c r="H8" s="7" t="str">
        <f>+IFERROR(VLOOKUP(A8,Info!B:AK,13,0),"")</f>
        <v/>
      </c>
      <c r="I8" s="8" t="str">
        <f>+IFERROR(VLOOKUP(A8,Info!B:AK,15,0),"")</f>
        <v/>
      </c>
      <c r="J8" s="39" t="str">
        <f>+IFERROR(VLOOKUP(A8,Info!B:AK,25,0),"")</f>
        <v/>
      </c>
      <c r="K8" s="40" t="str">
        <f t="shared" ref="K8:K32" si="0">IF(B8="","",H8-I8-J8)</f>
        <v/>
      </c>
      <c r="L8" s="5" t="str">
        <f>+IFERROR(VLOOKUP(A8,Info!B:AK,27,0),"")</f>
        <v/>
      </c>
      <c r="M8" s="29" t="str">
        <f>+IFERROR(VLOOKUP(A8,Info!B:AK,21,0),"")</f>
        <v/>
      </c>
      <c r="N8" s="41"/>
      <c r="O8" s="42" t="str">
        <f>+IFERROR(VLOOKUP(A8,Info!B:AK,22,0),"")</f>
        <v/>
      </c>
    </row>
    <row r="9" spans="1:15" ht="15" customHeight="1" x14ac:dyDescent="0.2">
      <c r="A9" s="22">
        <f>+A8+1</f>
        <v>26</v>
      </c>
      <c r="B9" s="22" t="str">
        <f>+IFERROR(VLOOKUP(A9,Info!B:AK,3,0),"")</f>
        <v/>
      </c>
      <c r="C9" s="22" t="str">
        <f>+IFERROR(VLOOKUP(A9,Info!B:AK,5,0),"")</f>
        <v/>
      </c>
      <c r="D9" s="22" t="str">
        <f>+IFERROR(VLOOKUP(A9,Info!B:AK,8,0),"")</f>
        <v/>
      </c>
      <c r="E9" s="23" t="str">
        <f>+IFERROR(VLOOKUP(A9,Info!B:AK,16,0),"")</f>
        <v/>
      </c>
      <c r="F9" s="24" t="str">
        <f>+IFERROR(VLOOKUP(A9,Info!B:AK,18,0),"")</f>
        <v/>
      </c>
      <c r="G9" s="22" t="str">
        <f>IF(SUM(IFERROR(VLOOKUP(A9,Info!B:AK,16,0),0),IFERROR(VLOOKUP(A9,Info!B:AK,17,0),0))=0,"",SUM(IFERROR(VLOOKUP(A9,Info!B:AK,16,0),0),IFERROR(VLOOKUP(A9,Info!B:AK,17,0),0)))</f>
        <v/>
      </c>
      <c r="H9" s="25" t="str">
        <f>+IFERROR(VLOOKUP(A9,Info!B:AK,13,0),"")</f>
        <v/>
      </c>
      <c r="I9" s="26" t="str">
        <f>+IFERROR(VLOOKUP(A9,Info!B:AK,15,0),"")</f>
        <v/>
      </c>
      <c r="J9" s="43" t="str">
        <f>+IFERROR(VLOOKUP(A9,Info!B:AK,25,0),"")</f>
        <v/>
      </c>
      <c r="K9" s="44" t="str">
        <f t="shared" si="0"/>
        <v/>
      </c>
      <c r="L9" s="22" t="str">
        <f>+IFERROR(VLOOKUP(A9,Info!B:AK,27,0),"")</f>
        <v/>
      </c>
      <c r="M9" s="30" t="str">
        <f>+IFERROR(VLOOKUP(A9,Info!B:AK,21,0),"")</f>
        <v/>
      </c>
      <c r="N9" s="45"/>
      <c r="O9" s="46" t="str">
        <f>+IFERROR(VLOOKUP(A9,Info!B:AK,22,0),"")</f>
        <v/>
      </c>
    </row>
    <row r="10" spans="1:15" ht="15" customHeight="1" x14ac:dyDescent="0.2">
      <c r="A10" s="5">
        <f>+A9+1</f>
        <v>27</v>
      </c>
      <c r="B10" s="5" t="str">
        <f>+IFERROR(VLOOKUP(A10,Info!B:AK,3,0),"")</f>
        <v/>
      </c>
      <c r="C10" s="5" t="str">
        <f>+IFERROR(VLOOKUP(A10,Info!B:AK,5,0),"")</f>
        <v/>
      </c>
      <c r="D10" s="5" t="str">
        <f>+IFERROR(VLOOKUP(A10,Info!B:AK,8,0),"")</f>
        <v/>
      </c>
      <c r="E10" s="6" t="str">
        <f>+IFERROR(VLOOKUP(A10,Info!B:AK,16,0),"")</f>
        <v/>
      </c>
      <c r="F10" s="18" t="str">
        <f>+IFERROR(VLOOKUP(A10,Info!B:AK,18,0),"")</f>
        <v/>
      </c>
      <c r="G10" s="5" t="str">
        <f>IF(SUM(IFERROR(VLOOKUP(A10,Info!B:AK,16,0),0),IFERROR(VLOOKUP(A10,Info!B:AK,17,0),0))=0,"",SUM(IFERROR(VLOOKUP(A10,Info!B:AK,16,0),0),IFERROR(VLOOKUP(A10,Info!B:AK,17,0),0)))</f>
        <v/>
      </c>
      <c r="H10" s="7" t="str">
        <f>+IFERROR(VLOOKUP(A10,Info!B:AK,13,0),"")</f>
        <v/>
      </c>
      <c r="I10" s="8" t="str">
        <f>+IFERROR(VLOOKUP(A10,Info!B:AK,15,0),"")</f>
        <v/>
      </c>
      <c r="J10" s="39" t="str">
        <f>+IFERROR(VLOOKUP(A10,Info!B:AK,25,0),"")</f>
        <v/>
      </c>
      <c r="K10" s="40" t="str">
        <f t="shared" si="0"/>
        <v/>
      </c>
      <c r="L10" s="5" t="str">
        <f>+IFERROR(VLOOKUP(A10,Info!B:AK,27,0),"")</f>
        <v/>
      </c>
      <c r="M10" s="29" t="str">
        <f>+IFERROR(VLOOKUP(A10,Info!B:AK,21,0),"")</f>
        <v/>
      </c>
      <c r="N10" s="41"/>
      <c r="O10" s="42" t="str">
        <f>+IFERROR(VLOOKUP(A10,Info!B:AK,22,0),"")</f>
        <v/>
      </c>
    </row>
    <row r="11" spans="1:15" ht="15" customHeight="1" x14ac:dyDescent="0.2">
      <c r="A11" s="22">
        <f t="shared" ref="A11:A32" si="1">+A10+1</f>
        <v>28</v>
      </c>
      <c r="B11" s="22" t="str">
        <f>+IFERROR(VLOOKUP(A11,Info!B:AK,3,0),"")</f>
        <v/>
      </c>
      <c r="C11" s="22" t="str">
        <f>+IFERROR(VLOOKUP(A11,Info!B:AK,5,0),"")</f>
        <v/>
      </c>
      <c r="D11" s="22" t="str">
        <f>+IFERROR(VLOOKUP(A11,Info!B:AK,8,0),"")</f>
        <v/>
      </c>
      <c r="E11" s="23" t="str">
        <f>+IFERROR(VLOOKUP(A11,Info!B:AK,16,0),"")</f>
        <v/>
      </c>
      <c r="F11" s="24" t="str">
        <f>+IFERROR(VLOOKUP(A11,Info!B:AK,18,0),"")</f>
        <v/>
      </c>
      <c r="G11" s="22" t="str">
        <f>IF(SUM(IFERROR(VLOOKUP(A11,Info!B:AK,16,0),0),IFERROR(VLOOKUP(A11,Info!B:AK,17,0),0))=0,"",SUM(IFERROR(VLOOKUP(A11,Info!B:AK,16,0),0),IFERROR(VLOOKUP(A11,Info!B:AK,17,0),0)))</f>
        <v/>
      </c>
      <c r="H11" s="25" t="str">
        <f>+IFERROR(VLOOKUP(A11,Info!B:AK,13,0),"")</f>
        <v/>
      </c>
      <c r="I11" s="26" t="str">
        <f>+IFERROR(VLOOKUP(A11,Info!B:AK,15,0),"")</f>
        <v/>
      </c>
      <c r="J11" s="43" t="str">
        <f>+IFERROR(VLOOKUP(A11,Info!B:AK,25,0),"")</f>
        <v/>
      </c>
      <c r="K11" s="44" t="str">
        <f t="shared" si="0"/>
        <v/>
      </c>
      <c r="L11" s="22" t="str">
        <f>+IFERROR(VLOOKUP(A11,Info!B:AK,27,0),"")</f>
        <v/>
      </c>
      <c r="M11" s="30" t="str">
        <f>+IFERROR(VLOOKUP(A11,Info!B:AK,21,0),"")</f>
        <v/>
      </c>
      <c r="N11" s="45"/>
      <c r="O11" s="46" t="str">
        <f>+IFERROR(VLOOKUP(A11,Info!B:AK,22,0),"")</f>
        <v/>
      </c>
    </row>
    <row r="12" spans="1:15" ht="15" customHeight="1" x14ac:dyDescent="0.2">
      <c r="A12" s="5">
        <f t="shared" si="1"/>
        <v>29</v>
      </c>
      <c r="B12" s="5" t="str">
        <f>+IFERROR(VLOOKUP(A12,Info!B:AK,3,0),"")</f>
        <v/>
      </c>
      <c r="C12" s="5" t="str">
        <f>+IFERROR(VLOOKUP(A12,Info!B:AK,5,0),"")</f>
        <v/>
      </c>
      <c r="D12" s="5" t="str">
        <f>+IFERROR(VLOOKUP(A12,Info!B:AK,8,0),"")</f>
        <v/>
      </c>
      <c r="E12" s="6" t="str">
        <f>+IFERROR(VLOOKUP(A12,Info!B:AK,16,0),"")</f>
        <v/>
      </c>
      <c r="F12" s="18" t="str">
        <f>+IFERROR(VLOOKUP(A12,Info!B:AK,18,0),"")</f>
        <v/>
      </c>
      <c r="G12" s="5" t="str">
        <f>IF(SUM(IFERROR(VLOOKUP(A12,Info!B:AK,16,0),0),IFERROR(VLOOKUP(A12,Info!B:AK,17,0),0))=0,"",SUM(IFERROR(VLOOKUP(A12,Info!B:AK,16,0),0),IFERROR(VLOOKUP(A12,Info!B:AK,17,0),0)))</f>
        <v/>
      </c>
      <c r="H12" s="7" t="str">
        <f>+IFERROR(VLOOKUP(A12,Info!B:AK,13,0),"")</f>
        <v/>
      </c>
      <c r="I12" s="8" t="str">
        <f>+IFERROR(VLOOKUP(A12,Info!B:AK,15,0),"")</f>
        <v/>
      </c>
      <c r="J12" s="39" t="str">
        <f>+IFERROR(VLOOKUP(A12,Info!B:AK,25,0),"")</f>
        <v/>
      </c>
      <c r="K12" s="40" t="str">
        <f t="shared" si="0"/>
        <v/>
      </c>
      <c r="L12" s="5" t="str">
        <f>+IFERROR(VLOOKUP(A12,Info!B:AK,27,0),"")</f>
        <v/>
      </c>
      <c r="M12" s="29" t="str">
        <f>+IFERROR(VLOOKUP(A12,Info!B:AK,21,0),"")</f>
        <v/>
      </c>
      <c r="N12" s="41"/>
      <c r="O12" s="42" t="str">
        <f>+IFERROR(VLOOKUP(A12,Info!B:AK,22,0),"")</f>
        <v/>
      </c>
    </row>
    <row r="13" spans="1:15" ht="15" customHeight="1" x14ac:dyDescent="0.2">
      <c r="A13" s="22">
        <f t="shared" si="1"/>
        <v>30</v>
      </c>
      <c r="B13" s="22" t="str">
        <f>+IFERROR(VLOOKUP(A13,Info!B:AK,3,0),"")</f>
        <v/>
      </c>
      <c r="C13" s="22" t="str">
        <f>+IFERROR(VLOOKUP(A13,Info!B:AK,5,0),"")</f>
        <v/>
      </c>
      <c r="D13" s="22" t="str">
        <f>+IFERROR(VLOOKUP(A13,Info!B:AK,8,0),"")</f>
        <v/>
      </c>
      <c r="E13" s="23" t="str">
        <f>+IFERROR(VLOOKUP(A13,Info!B:AK,16,0),"")</f>
        <v/>
      </c>
      <c r="F13" s="27" t="str">
        <f>+IFERROR(VLOOKUP(A13,Info!B:AK,18,0),"")</f>
        <v/>
      </c>
      <c r="G13" s="22" t="str">
        <f>IF(SUM(IFERROR(VLOOKUP(A13,Info!B:AK,16,0),0),IFERROR(VLOOKUP(A13,Info!B:AK,17,0),0))=0,"",SUM(IFERROR(VLOOKUP(A13,Info!B:AK,16,0),0),IFERROR(VLOOKUP(A13,Info!B:AK,17,0),0)))</f>
        <v/>
      </c>
      <c r="H13" s="25" t="str">
        <f>+IFERROR(VLOOKUP(A13,Info!B:AK,13,0),"")</f>
        <v/>
      </c>
      <c r="I13" s="26" t="str">
        <f>+IFERROR(VLOOKUP(A13,Info!B:AK,15,0),"")</f>
        <v/>
      </c>
      <c r="J13" s="43" t="str">
        <f>+IFERROR(VLOOKUP(A13,Info!B:AK,25,0),"")</f>
        <v/>
      </c>
      <c r="K13" s="44" t="str">
        <f t="shared" si="0"/>
        <v/>
      </c>
      <c r="L13" s="22" t="str">
        <f>+IFERROR(VLOOKUP(A13,Info!B:AK,27,0),"")</f>
        <v/>
      </c>
      <c r="M13" s="30" t="str">
        <f>+IFERROR(VLOOKUP(A13,Info!B:AK,21,0),"")</f>
        <v/>
      </c>
      <c r="N13" s="45"/>
      <c r="O13" s="46" t="str">
        <f>+IFERROR(VLOOKUP(A13,Info!B:AK,22,0),"")</f>
        <v/>
      </c>
    </row>
    <row r="14" spans="1:15" ht="15" customHeight="1" x14ac:dyDescent="0.2">
      <c r="A14" s="5">
        <f t="shared" si="1"/>
        <v>31</v>
      </c>
      <c r="B14" s="5" t="str">
        <f>+IFERROR(VLOOKUP(A14,Info!B:AK,3,0),"")</f>
        <v/>
      </c>
      <c r="C14" s="5" t="str">
        <f>+IFERROR(VLOOKUP(A14,Info!B:AK,5,0),"")</f>
        <v/>
      </c>
      <c r="D14" s="5" t="str">
        <f>+IFERROR(VLOOKUP(A14,Info!B:AK,8,0),"")</f>
        <v/>
      </c>
      <c r="E14" s="6" t="str">
        <f>+IFERROR(VLOOKUP(A14,Info!B:AK,16,0),"")</f>
        <v/>
      </c>
      <c r="F14" s="18" t="str">
        <f>+IFERROR(VLOOKUP(A14,Info!B:AK,18,0),"")</f>
        <v/>
      </c>
      <c r="G14" s="5" t="str">
        <f>IF(SUM(IFERROR(VLOOKUP(A14,Info!B:AK,16,0),0),IFERROR(VLOOKUP(A14,Info!B:AK,17,0),0))=0,"",SUM(IFERROR(VLOOKUP(A14,Info!B:AK,16,0),0),IFERROR(VLOOKUP(A14,Info!B:AK,17,0),0)))</f>
        <v/>
      </c>
      <c r="H14" s="7" t="str">
        <f>+IFERROR(VLOOKUP(A14,Info!B:AK,13,0),"")</f>
        <v/>
      </c>
      <c r="I14" s="8" t="str">
        <f>+IFERROR(VLOOKUP(A14,Info!B:AK,15,0),"")</f>
        <v/>
      </c>
      <c r="J14" s="39" t="str">
        <f>+IFERROR(VLOOKUP(A14,Info!B:AK,25,0),"")</f>
        <v/>
      </c>
      <c r="K14" s="40" t="str">
        <f t="shared" si="0"/>
        <v/>
      </c>
      <c r="L14" s="5" t="str">
        <f>+IFERROR(VLOOKUP(A14,Info!B:AK,27,0),"")</f>
        <v/>
      </c>
      <c r="M14" s="29" t="str">
        <f>+IFERROR(VLOOKUP(A14,Info!B:AK,21,0),"")</f>
        <v/>
      </c>
      <c r="N14" s="41"/>
      <c r="O14" s="42" t="str">
        <f>+IFERROR(VLOOKUP(A14,Info!B:AK,22,0),"")</f>
        <v/>
      </c>
    </row>
    <row r="15" spans="1:15" ht="15" customHeight="1" x14ac:dyDescent="0.2">
      <c r="A15" s="22">
        <f t="shared" si="1"/>
        <v>32</v>
      </c>
      <c r="B15" s="22" t="str">
        <f>+IFERROR(VLOOKUP(A15,Info!B:AK,3,0),"")</f>
        <v/>
      </c>
      <c r="C15" s="22" t="str">
        <f>+IFERROR(VLOOKUP(A15,Info!B:AK,5,0),"")</f>
        <v/>
      </c>
      <c r="D15" s="22" t="str">
        <f>+IFERROR(VLOOKUP(A15,Info!B:AK,8,0),"")</f>
        <v/>
      </c>
      <c r="E15" s="23" t="str">
        <f>+IFERROR(VLOOKUP(A15,Info!B:AK,16,0),"")</f>
        <v/>
      </c>
      <c r="F15" s="27" t="str">
        <f>+IFERROR(VLOOKUP(A15,Info!B:AK,18,0),"")</f>
        <v/>
      </c>
      <c r="G15" s="22" t="str">
        <f>IF(SUM(IFERROR(VLOOKUP(A15,Info!B:AK,16,0),0),IFERROR(VLOOKUP(A15,Info!B:AK,17,0),0))=0,"",SUM(IFERROR(VLOOKUP(A15,Info!B:AK,16,0),0),IFERROR(VLOOKUP(A15,Info!B:AK,17,0),0)))</f>
        <v/>
      </c>
      <c r="H15" s="25" t="str">
        <f>+IFERROR(VLOOKUP(A15,Info!B:AK,13,0),"")</f>
        <v/>
      </c>
      <c r="I15" s="26" t="str">
        <f>+IFERROR(VLOOKUP(A15,Info!B:AK,15,0),"")</f>
        <v/>
      </c>
      <c r="J15" s="43" t="str">
        <f>+IFERROR(VLOOKUP(A15,Info!B:AK,25,0),"")</f>
        <v/>
      </c>
      <c r="K15" s="44" t="str">
        <f t="shared" si="0"/>
        <v/>
      </c>
      <c r="L15" s="22" t="str">
        <f>+IFERROR(VLOOKUP(A15,Info!B:AK,27,0),"")</f>
        <v/>
      </c>
      <c r="M15" s="30" t="str">
        <f>+IFERROR(VLOOKUP(A15,Info!B:AK,21,0),"")</f>
        <v/>
      </c>
      <c r="N15" s="45"/>
      <c r="O15" s="46" t="str">
        <f>+IFERROR(VLOOKUP(A15,Info!B:AK,22,0),"")</f>
        <v/>
      </c>
    </row>
    <row r="16" spans="1:15" ht="15" customHeight="1" x14ac:dyDescent="0.2">
      <c r="A16" s="5">
        <f t="shared" si="1"/>
        <v>33</v>
      </c>
      <c r="B16" s="5" t="str">
        <f>+IFERROR(VLOOKUP(A16,Info!B:AK,3,0),"")</f>
        <v/>
      </c>
      <c r="C16" s="5" t="str">
        <f>+IFERROR(VLOOKUP(A16,Info!B:AK,5,0),"")</f>
        <v/>
      </c>
      <c r="D16" s="5" t="str">
        <f>+IFERROR(VLOOKUP(A16,Info!B:AK,8,0),"")</f>
        <v/>
      </c>
      <c r="E16" s="6" t="str">
        <f>+IFERROR(VLOOKUP(A16,Info!B:AK,16,0),"")</f>
        <v/>
      </c>
      <c r="F16" s="16" t="str">
        <f>+IFERROR(VLOOKUP(A16,Info!B:AK,18,0),"")</f>
        <v/>
      </c>
      <c r="G16" s="5" t="str">
        <f>IF(SUM(IFERROR(VLOOKUP(A16,Info!B:AK,16,0),0),IFERROR(VLOOKUP(A16,Info!B:AK,17,0),0))=0,"",SUM(IFERROR(VLOOKUP(A16,Info!B:AK,16,0),0),IFERROR(VLOOKUP(A16,Info!B:AK,17,0),0)))</f>
        <v/>
      </c>
      <c r="H16" s="7" t="str">
        <f>+IFERROR(VLOOKUP(A16,Info!B:AK,13,0),"")</f>
        <v/>
      </c>
      <c r="I16" s="8" t="str">
        <f>+IFERROR(VLOOKUP(A16,Info!B:AK,15,0),"")</f>
        <v/>
      </c>
      <c r="J16" s="39" t="str">
        <f>+IFERROR(VLOOKUP(A16,Info!B:AK,25,0),"")</f>
        <v/>
      </c>
      <c r="K16" s="40" t="str">
        <f t="shared" si="0"/>
        <v/>
      </c>
      <c r="L16" s="5" t="str">
        <f>+IFERROR(VLOOKUP(A16,Info!B:AK,27,0),"")</f>
        <v/>
      </c>
      <c r="M16" s="29" t="str">
        <f>+IFERROR(VLOOKUP(A16,Info!B:AK,21,0),"")</f>
        <v/>
      </c>
      <c r="N16" s="41"/>
      <c r="O16" s="42" t="str">
        <f>+IFERROR(VLOOKUP(A16,Info!B:AK,22,0),"")</f>
        <v/>
      </c>
    </row>
    <row r="17" spans="1:15" ht="15" customHeight="1" x14ac:dyDescent="0.2">
      <c r="A17" s="22">
        <f t="shared" si="1"/>
        <v>34</v>
      </c>
      <c r="B17" s="22" t="str">
        <f>+IFERROR(VLOOKUP(A17,Info!B:AK,3,0),"")</f>
        <v/>
      </c>
      <c r="C17" s="22" t="str">
        <f>+IFERROR(VLOOKUP(A17,Info!B:AK,5,0),"")</f>
        <v/>
      </c>
      <c r="D17" s="22" t="str">
        <f>+IFERROR(VLOOKUP(A17,Info!B:AK,8,0),"")</f>
        <v/>
      </c>
      <c r="E17" s="23" t="str">
        <f>+IFERROR(VLOOKUP(A17,Info!B:AK,16,0),"")</f>
        <v/>
      </c>
      <c r="F17" s="27" t="str">
        <f>+IFERROR(VLOOKUP(A17,Info!B:AK,18,0),"")</f>
        <v/>
      </c>
      <c r="G17" s="22" t="str">
        <f>IF(SUM(IFERROR(VLOOKUP(A17,Info!B:AK,16,0),0),IFERROR(VLOOKUP(A17,Info!B:AK,17,0),0))=0,"",SUM(IFERROR(VLOOKUP(A17,Info!B:AK,16,0),0),IFERROR(VLOOKUP(A17,Info!B:AK,17,0),0)))</f>
        <v/>
      </c>
      <c r="H17" s="25" t="str">
        <f>+IFERROR(VLOOKUP(A17,Info!B:AK,13,0),"")</f>
        <v/>
      </c>
      <c r="I17" s="26" t="str">
        <f>+IFERROR(VLOOKUP(A17,Info!B:AK,15,0),"")</f>
        <v/>
      </c>
      <c r="J17" s="43" t="str">
        <f>+IFERROR(VLOOKUP(A17,Info!B:AK,25,0),"")</f>
        <v/>
      </c>
      <c r="K17" s="44" t="str">
        <f t="shared" si="0"/>
        <v/>
      </c>
      <c r="L17" s="22" t="str">
        <f>+IFERROR(VLOOKUP(A17,Info!B:AK,27,0),"")</f>
        <v/>
      </c>
      <c r="M17" s="30" t="str">
        <f>+IFERROR(VLOOKUP(A17,Info!B:AK,21,0),"")</f>
        <v/>
      </c>
      <c r="N17" s="45"/>
      <c r="O17" s="46" t="str">
        <f>+IFERROR(VLOOKUP(A17,Info!B:AK,22,0),"")</f>
        <v/>
      </c>
    </row>
    <row r="18" spans="1:15" ht="15" customHeight="1" x14ac:dyDescent="0.2">
      <c r="A18" s="5">
        <f t="shared" si="1"/>
        <v>35</v>
      </c>
      <c r="B18" s="5" t="str">
        <f>+IFERROR(VLOOKUP(A18,Info!B:AK,3,0),"")</f>
        <v/>
      </c>
      <c r="C18" s="5" t="str">
        <f>+IFERROR(VLOOKUP(A18,Info!B:AK,5,0),"")</f>
        <v/>
      </c>
      <c r="D18" s="5" t="str">
        <f>+IFERROR(VLOOKUP(A18,Info!B:AK,8,0),"")</f>
        <v/>
      </c>
      <c r="E18" s="6" t="str">
        <f>+IFERROR(VLOOKUP(A18,Info!B:AK,16,0),"")</f>
        <v/>
      </c>
      <c r="F18" s="16" t="str">
        <f>+IFERROR(VLOOKUP(A18,Info!B:AK,18,0),"")</f>
        <v/>
      </c>
      <c r="G18" s="5" t="str">
        <f>IF(SUM(IFERROR(VLOOKUP(A18,Info!B:AK,16,0),0),IFERROR(VLOOKUP(A18,Info!B:AK,17,0),0))=0,"",SUM(IFERROR(VLOOKUP(A18,Info!B:AK,16,0),0),IFERROR(VLOOKUP(A18,Info!B:AK,17,0),0)))</f>
        <v/>
      </c>
      <c r="H18" s="7" t="str">
        <f>+IFERROR(VLOOKUP(A18,Info!B:AK,13,0),"")</f>
        <v/>
      </c>
      <c r="I18" s="8" t="str">
        <f>+IFERROR(VLOOKUP(A18,Info!B:AK,15,0),"")</f>
        <v/>
      </c>
      <c r="J18" s="39" t="str">
        <f>+IFERROR(VLOOKUP(A18,Info!B:AK,25,0),"")</f>
        <v/>
      </c>
      <c r="K18" s="40" t="str">
        <f t="shared" si="0"/>
        <v/>
      </c>
      <c r="L18" s="5" t="str">
        <f>+IFERROR(VLOOKUP(A18,Info!B:AK,27,0),"")</f>
        <v/>
      </c>
      <c r="M18" s="29" t="str">
        <f>+IFERROR(VLOOKUP(A18,Info!B:AK,21,0),"")</f>
        <v/>
      </c>
      <c r="N18" s="41"/>
      <c r="O18" s="42" t="str">
        <f>+IFERROR(VLOOKUP(A18,Info!B:AK,22,0),"")</f>
        <v/>
      </c>
    </row>
    <row r="19" spans="1:15" ht="15" customHeight="1" x14ac:dyDescent="0.2">
      <c r="A19" s="22">
        <f t="shared" si="1"/>
        <v>36</v>
      </c>
      <c r="B19" s="22" t="str">
        <f>+IFERROR(VLOOKUP(A19,Info!B:AK,3,0),"")</f>
        <v/>
      </c>
      <c r="C19" s="22" t="str">
        <f>+IFERROR(VLOOKUP(A19,Info!B:AK,5,0),"")</f>
        <v/>
      </c>
      <c r="D19" s="22" t="str">
        <f>+IFERROR(VLOOKUP(A19,Info!B:AK,8,0),"")</f>
        <v/>
      </c>
      <c r="E19" s="23" t="str">
        <f>+IFERROR(VLOOKUP(A19,Info!B:AK,16,0),"")</f>
        <v/>
      </c>
      <c r="F19" s="27" t="str">
        <f>+IFERROR(VLOOKUP(A19,Info!B:AK,18,0),"")</f>
        <v/>
      </c>
      <c r="G19" s="22" t="str">
        <f>IF(SUM(IFERROR(VLOOKUP(A19,Info!B:AK,16,0),0),IFERROR(VLOOKUP(A19,Info!B:AK,17,0),0))=0,"",SUM(IFERROR(VLOOKUP(A19,Info!B:AK,16,0),0),IFERROR(VLOOKUP(A19,Info!B:AK,17,0),0)))</f>
        <v/>
      </c>
      <c r="H19" s="25" t="str">
        <f>+IFERROR(VLOOKUP(A19,Info!B:AK,13,0),"")</f>
        <v/>
      </c>
      <c r="I19" s="26" t="str">
        <f>+IFERROR(VLOOKUP(A19,Info!B:AK,15,0),"")</f>
        <v/>
      </c>
      <c r="J19" s="43" t="str">
        <f>+IFERROR(VLOOKUP(A19,Info!B:AK,25,0),"")</f>
        <v/>
      </c>
      <c r="K19" s="44" t="str">
        <f t="shared" si="0"/>
        <v/>
      </c>
      <c r="L19" s="22" t="str">
        <f>+IFERROR(VLOOKUP(A19,Info!B:AK,27,0),"")</f>
        <v/>
      </c>
      <c r="M19" s="30" t="str">
        <f>+IFERROR(VLOOKUP(A19,Info!B:AK,21,0),"")</f>
        <v/>
      </c>
      <c r="N19" s="45"/>
      <c r="O19" s="46" t="str">
        <f>+IFERROR(VLOOKUP(A19,Info!B:AK,22,0),"")</f>
        <v/>
      </c>
    </row>
    <row r="20" spans="1:15" ht="15" customHeight="1" x14ac:dyDescent="0.2">
      <c r="A20" s="5">
        <f t="shared" si="1"/>
        <v>37</v>
      </c>
      <c r="B20" s="5" t="str">
        <f>+IFERROR(VLOOKUP(A20,Info!B:AK,3,0),"")</f>
        <v/>
      </c>
      <c r="C20" s="5" t="str">
        <f>+IFERROR(VLOOKUP(A20,Info!B:AK,5,0),"")</f>
        <v/>
      </c>
      <c r="D20" s="5" t="str">
        <f>+IFERROR(VLOOKUP(A20,Info!B:AK,8,0),"")</f>
        <v/>
      </c>
      <c r="E20" s="6" t="str">
        <f>+IFERROR(VLOOKUP(A20,Info!B:AK,16,0),"")</f>
        <v/>
      </c>
      <c r="F20" s="16" t="str">
        <f>+IFERROR(VLOOKUP(A20,Info!B:AK,18,0),"")</f>
        <v/>
      </c>
      <c r="G20" s="5" t="str">
        <f>IF(SUM(IFERROR(VLOOKUP(A20,Info!B:AK,16,0),0),IFERROR(VLOOKUP(A20,Info!B:AK,17,0),0))=0,"",SUM(IFERROR(VLOOKUP(A20,Info!B:AK,16,0),0),IFERROR(VLOOKUP(A20,Info!B:AK,17,0),0)))</f>
        <v/>
      </c>
      <c r="H20" s="7" t="str">
        <f>+IFERROR(VLOOKUP(A20,Info!B:AK,13,0),"")</f>
        <v/>
      </c>
      <c r="I20" s="8" t="str">
        <f>+IFERROR(VLOOKUP(A20,Info!B:AK,15,0),"")</f>
        <v/>
      </c>
      <c r="J20" s="39" t="str">
        <f>+IFERROR(VLOOKUP(A20,Info!B:AK,25,0),"")</f>
        <v/>
      </c>
      <c r="K20" s="40" t="str">
        <f t="shared" si="0"/>
        <v/>
      </c>
      <c r="L20" s="5" t="str">
        <f>+IFERROR(VLOOKUP(A20,Info!B:AK,27,0),"")</f>
        <v/>
      </c>
      <c r="M20" s="29" t="str">
        <f>+IFERROR(VLOOKUP(A20,Info!B:AK,21,0),"")</f>
        <v/>
      </c>
      <c r="N20" s="41"/>
      <c r="O20" s="42" t="str">
        <f>+IFERROR(VLOOKUP(A20,Info!B:AK,22,0),"")</f>
        <v/>
      </c>
    </row>
    <row r="21" spans="1:15" ht="15" customHeight="1" x14ac:dyDescent="0.2">
      <c r="A21" s="22">
        <f t="shared" si="1"/>
        <v>38</v>
      </c>
      <c r="B21" s="22" t="str">
        <f>+IFERROR(VLOOKUP(A21,Info!B:AK,3,0),"")</f>
        <v/>
      </c>
      <c r="C21" s="22" t="str">
        <f>+IFERROR(VLOOKUP(A21,Info!B:AK,5,0),"")</f>
        <v/>
      </c>
      <c r="D21" s="22" t="str">
        <f>+IFERROR(VLOOKUP(A21,Info!B:AK,8,0),"")</f>
        <v/>
      </c>
      <c r="E21" s="23" t="str">
        <f>+IFERROR(VLOOKUP(A21,Info!B:AK,16,0),"")</f>
        <v/>
      </c>
      <c r="F21" s="27" t="str">
        <f>+IFERROR(VLOOKUP(A21,Info!B:AK,18,0),"")</f>
        <v/>
      </c>
      <c r="G21" s="22" t="str">
        <f>IF(SUM(IFERROR(VLOOKUP(A21,Info!B:AK,16,0),0),IFERROR(VLOOKUP(A21,Info!B:AK,17,0),0))=0,"",SUM(IFERROR(VLOOKUP(A21,Info!B:AK,16,0),0),IFERROR(VLOOKUP(A21,Info!B:AK,17,0),0)))</f>
        <v/>
      </c>
      <c r="H21" s="25" t="str">
        <f>+IFERROR(VLOOKUP(A21,Info!B:AK,13,0),"")</f>
        <v/>
      </c>
      <c r="I21" s="26" t="str">
        <f>+IFERROR(VLOOKUP(A21,Info!B:AK,15,0),"")</f>
        <v/>
      </c>
      <c r="J21" s="43" t="str">
        <f>+IFERROR(VLOOKUP(A21,Info!B:AK,25,0),"")</f>
        <v/>
      </c>
      <c r="K21" s="44" t="str">
        <f t="shared" si="0"/>
        <v/>
      </c>
      <c r="L21" s="22" t="str">
        <f>+IFERROR(VLOOKUP(A21,Info!B:AK,27,0),"")</f>
        <v/>
      </c>
      <c r="M21" s="30" t="str">
        <f>+IFERROR(VLOOKUP(A21,Info!B:AK,21,0),"")</f>
        <v/>
      </c>
      <c r="N21" s="45"/>
      <c r="O21" s="46" t="str">
        <f>+IFERROR(VLOOKUP(A21,Info!B:AK,22,0),"")</f>
        <v/>
      </c>
    </row>
    <row r="22" spans="1:15" ht="15" customHeight="1" x14ac:dyDescent="0.2">
      <c r="A22" s="5">
        <f t="shared" si="1"/>
        <v>39</v>
      </c>
      <c r="B22" s="5" t="str">
        <f>+IFERROR(VLOOKUP(A22,Info!B:AK,3,0),"")</f>
        <v/>
      </c>
      <c r="C22" s="5" t="str">
        <f>+IFERROR(VLOOKUP(A22,Info!B:AK,5,0),"")</f>
        <v/>
      </c>
      <c r="D22" s="5" t="str">
        <f>+IFERROR(VLOOKUP(A22,Info!B:AK,8,0),"")</f>
        <v/>
      </c>
      <c r="E22" s="6" t="str">
        <f>+IFERROR(VLOOKUP(A22,Info!B:AK,16,0),"")</f>
        <v/>
      </c>
      <c r="F22" s="16" t="str">
        <f>+IFERROR(VLOOKUP(A22,Info!B:AK,18,0),"")</f>
        <v/>
      </c>
      <c r="G22" s="5" t="str">
        <f>IF(SUM(IFERROR(VLOOKUP(A22,Info!B:AK,16,0),0),IFERROR(VLOOKUP(A22,Info!B:AK,17,0),0))=0,"",SUM(IFERROR(VLOOKUP(A22,Info!B:AK,16,0),0),IFERROR(VLOOKUP(A22,Info!B:AK,17,0),0)))</f>
        <v/>
      </c>
      <c r="H22" s="7" t="str">
        <f>+IFERROR(VLOOKUP(A22,Info!B:AK,13,0),"")</f>
        <v/>
      </c>
      <c r="I22" s="8" t="str">
        <f>+IFERROR(VLOOKUP(A22,Info!B:AK,15,0),"")</f>
        <v/>
      </c>
      <c r="J22" s="39" t="str">
        <f>+IFERROR(VLOOKUP(A22,Info!B:AK,25,0),"")</f>
        <v/>
      </c>
      <c r="K22" s="40" t="str">
        <f t="shared" si="0"/>
        <v/>
      </c>
      <c r="L22" s="5" t="str">
        <f>+IFERROR(VLOOKUP(A22,Info!B:AK,27,0),"")</f>
        <v/>
      </c>
      <c r="M22" s="29" t="str">
        <f>+IFERROR(VLOOKUP(A22,Info!B:AK,21,0),"")</f>
        <v/>
      </c>
      <c r="N22" s="41"/>
      <c r="O22" s="42" t="str">
        <f>+IFERROR(VLOOKUP(A22,Info!B:AK,22,0),"")</f>
        <v/>
      </c>
    </row>
    <row r="23" spans="1:15" ht="15" customHeight="1" x14ac:dyDescent="0.2">
      <c r="A23" s="22">
        <f t="shared" si="1"/>
        <v>40</v>
      </c>
      <c r="B23" s="22" t="str">
        <f>+IFERROR(VLOOKUP(A23,Info!B:AK,3,0),"")</f>
        <v/>
      </c>
      <c r="C23" s="22" t="str">
        <f>+IFERROR(VLOOKUP(A23,Info!B:AK,5,0),"")</f>
        <v/>
      </c>
      <c r="D23" s="22" t="str">
        <f>+IFERROR(VLOOKUP(A23,Info!B:AK,8,0),"")</f>
        <v/>
      </c>
      <c r="E23" s="23" t="str">
        <f>+IFERROR(VLOOKUP(A23,Info!B:AK,16,0),"")</f>
        <v/>
      </c>
      <c r="F23" s="27" t="str">
        <f>+IFERROR(VLOOKUP(A23,Info!B:AK,18,0),"")</f>
        <v/>
      </c>
      <c r="G23" s="22" t="str">
        <f>IF(SUM(IFERROR(VLOOKUP(A23,Info!B:AK,16,0),0),IFERROR(VLOOKUP(A23,Info!B:AK,17,0),0))=0,"",SUM(IFERROR(VLOOKUP(A23,Info!B:AK,16,0),0),IFERROR(VLOOKUP(A23,Info!B:AK,17,0),0)))</f>
        <v/>
      </c>
      <c r="H23" s="25" t="str">
        <f>+IFERROR(VLOOKUP(A23,Info!B:AK,13,0),"")</f>
        <v/>
      </c>
      <c r="I23" s="26" t="str">
        <f>+IFERROR(VLOOKUP(A23,Info!B:AK,15,0),"")</f>
        <v/>
      </c>
      <c r="J23" s="43" t="str">
        <f>+IFERROR(VLOOKUP(A23,Info!B:AK,25,0),"")</f>
        <v/>
      </c>
      <c r="K23" s="44" t="str">
        <f t="shared" si="0"/>
        <v/>
      </c>
      <c r="L23" s="22" t="str">
        <f>+IFERROR(VLOOKUP(A23,Info!B:AK,27,0),"")</f>
        <v/>
      </c>
      <c r="M23" s="30" t="str">
        <f>+IFERROR(VLOOKUP(A23,Info!B:AK,21,0),"")</f>
        <v/>
      </c>
      <c r="N23" s="45"/>
      <c r="O23" s="46" t="str">
        <f>+IFERROR(VLOOKUP(A23,Info!B:AK,22,0),"")</f>
        <v/>
      </c>
    </row>
    <row r="24" spans="1:15" ht="15" customHeight="1" x14ac:dyDescent="0.2">
      <c r="A24" s="5">
        <f t="shared" si="1"/>
        <v>41</v>
      </c>
      <c r="B24" s="5" t="str">
        <f>+IFERROR(VLOOKUP(A24,Info!B:AK,3,0),"")</f>
        <v/>
      </c>
      <c r="C24" s="5" t="str">
        <f>+IFERROR(VLOOKUP(A24,Info!B:AK,5,0),"")</f>
        <v/>
      </c>
      <c r="D24" s="5" t="str">
        <f>+IFERROR(VLOOKUP(A24,Info!B:AK,8,0),"")</f>
        <v/>
      </c>
      <c r="E24" s="6" t="str">
        <f>+IFERROR(VLOOKUP(A24,Info!B:AK,16,0),"")</f>
        <v/>
      </c>
      <c r="F24" s="16" t="str">
        <f>+IFERROR(VLOOKUP(A24,Info!B:AK,18,0),"")</f>
        <v/>
      </c>
      <c r="G24" s="5" t="str">
        <f>IF(SUM(IFERROR(VLOOKUP(A24,Info!B:AK,16,0),0),IFERROR(VLOOKUP(A24,Info!B:AK,17,0),0))=0,"",SUM(IFERROR(VLOOKUP(A24,Info!B:AK,16,0),0),IFERROR(VLOOKUP(A24,Info!B:AK,17,0),0)))</f>
        <v/>
      </c>
      <c r="H24" s="7" t="str">
        <f>+IFERROR(VLOOKUP(A24,Info!B:AK,13,0),"")</f>
        <v/>
      </c>
      <c r="I24" s="8" t="str">
        <f>+IFERROR(VLOOKUP(A24,Info!B:AK,15,0),"")</f>
        <v/>
      </c>
      <c r="J24" s="39" t="str">
        <f>+IFERROR(VLOOKUP(A24,Info!B:AK,25,0),"")</f>
        <v/>
      </c>
      <c r="K24" s="40" t="str">
        <f t="shared" si="0"/>
        <v/>
      </c>
      <c r="L24" s="5" t="str">
        <f>+IFERROR(VLOOKUP(A24,Info!B:AK,27,0),"")</f>
        <v/>
      </c>
      <c r="M24" s="29" t="str">
        <f>+IFERROR(VLOOKUP(A24,Info!B:AK,21,0),"")</f>
        <v/>
      </c>
      <c r="N24" s="41"/>
      <c r="O24" s="42" t="str">
        <f>+IFERROR(VLOOKUP(A24,Info!B:AK,22,0),"")</f>
        <v/>
      </c>
    </row>
    <row r="25" spans="1:15" ht="15" customHeight="1" x14ac:dyDescent="0.2">
      <c r="A25" s="22">
        <f t="shared" si="1"/>
        <v>42</v>
      </c>
      <c r="B25" s="22" t="str">
        <f>+IFERROR(VLOOKUP(A25,Info!B:AK,3,0),"")</f>
        <v/>
      </c>
      <c r="C25" s="22" t="str">
        <f>+IFERROR(VLOOKUP(A25,Info!B:AK,5,0),"")</f>
        <v/>
      </c>
      <c r="D25" s="22" t="str">
        <f>+IFERROR(VLOOKUP(A25,Info!B:AK,8,0),"")</f>
        <v/>
      </c>
      <c r="E25" s="23" t="str">
        <f>+IFERROR(VLOOKUP(A25,Info!B:AK,16,0),"")</f>
        <v/>
      </c>
      <c r="F25" s="27" t="str">
        <f>+IFERROR(VLOOKUP(A25,Info!B:AK,18,0),"")</f>
        <v/>
      </c>
      <c r="G25" s="22" t="str">
        <f>IF(SUM(IFERROR(VLOOKUP(A25,Info!B:AK,16,0),0),IFERROR(VLOOKUP(A25,Info!B:AK,17,0),0))=0,"",SUM(IFERROR(VLOOKUP(A25,Info!B:AK,16,0),0),IFERROR(VLOOKUP(A25,Info!B:AK,17,0),0)))</f>
        <v/>
      </c>
      <c r="H25" s="25" t="str">
        <f>+IFERROR(VLOOKUP(A25,Info!B:AK,13,0),"")</f>
        <v/>
      </c>
      <c r="I25" s="26" t="str">
        <f>+IFERROR(VLOOKUP(A25,Info!B:AK,15,0),"")</f>
        <v/>
      </c>
      <c r="J25" s="43" t="str">
        <f>+IFERROR(VLOOKUP(A25,Info!B:AK,25,0),"")</f>
        <v/>
      </c>
      <c r="K25" s="44" t="str">
        <f t="shared" si="0"/>
        <v/>
      </c>
      <c r="L25" s="22" t="str">
        <f>+IFERROR(VLOOKUP(A25,Info!B:AK,27,0),"")</f>
        <v/>
      </c>
      <c r="M25" s="30" t="str">
        <f>+IFERROR(VLOOKUP(A25,Info!B:AK,21,0),"")</f>
        <v/>
      </c>
      <c r="N25" s="45"/>
      <c r="O25" s="46" t="str">
        <f>+IFERROR(VLOOKUP(A25,Info!B:AK,22,0),"")</f>
        <v/>
      </c>
    </row>
    <row r="26" spans="1:15" ht="15" customHeight="1" x14ac:dyDescent="0.2">
      <c r="A26" s="5">
        <f t="shared" si="1"/>
        <v>43</v>
      </c>
      <c r="B26" s="5" t="str">
        <f>+IFERROR(VLOOKUP(A26,Info!B:AK,3,0),"")</f>
        <v/>
      </c>
      <c r="C26" s="5" t="str">
        <f>+IFERROR(VLOOKUP(A26,Info!B:AK,5,0),"")</f>
        <v/>
      </c>
      <c r="D26" s="5" t="str">
        <f>+IFERROR(VLOOKUP(A26,Info!B:AK,8,0),"")</f>
        <v/>
      </c>
      <c r="E26" s="6" t="str">
        <f>+IFERROR(VLOOKUP(A26,Info!B:AK,16,0),"")</f>
        <v/>
      </c>
      <c r="F26" s="16" t="str">
        <f>+IFERROR(VLOOKUP(A26,Info!B:AK,18,0),"")</f>
        <v/>
      </c>
      <c r="G26" s="5" t="str">
        <f>IF(SUM(IFERROR(VLOOKUP(A26,Info!B:AK,16,0),0),IFERROR(VLOOKUP(A26,Info!B:AK,17,0),0))=0,"",SUM(IFERROR(VLOOKUP(A26,Info!B:AK,16,0),0),IFERROR(VLOOKUP(A26,Info!B:AK,17,0),0)))</f>
        <v/>
      </c>
      <c r="H26" s="7" t="str">
        <f>+IFERROR(VLOOKUP(A26,Info!B:AK,13,0),"")</f>
        <v/>
      </c>
      <c r="I26" s="8" t="str">
        <f>+IFERROR(VLOOKUP(A26,Info!B:AK,15,0),"")</f>
        <v/>
      </c>
      <c r="J26" s="39" t="str">
        <f>+IFERROR(VLOOKUP(A26,Info!B:AK,25,0),"")</f>
        <v/>
      </c>
      <c r="K26" s="40" t="str">
        <f t="shared" si="0"/>
        <v/>
      </c>
      <c r="L26" s="5" t="str">
        <f>+IFERROR(VLOOKUP(A26,Info!B:AK,27,0),"")</f>
        <v/>
      </c>
      <c r="M26" s="29" t="str">
        <f>+IFERROR(VLOOKUP(A26,Info!B:AK,21,0),"")</f>
        <v/>
      </c>
      <c r="N26" s="41"/>
      <c r="O26" s="42" t="str">
        <f>+IFERROR(VLOOKUP(A26,Info!B:AK,22,0),"")</f>
        <v/>
      </c>
    </row>
    <row r="27" spans="1:15" ht="15" customHeight="1" x14ac:dyDescent="0.2">
      <c r="A27" s="22">
        <f t="shared" si="1"/>
        <v>44</v>
      </c>
      <c r="B27" s="22" t="str">
        <f>+IFERROR(VLOOKUP(A27,Info!B:AK,3,0),"")</f>
        <v/>
      </c>
      <c r="C27" s="22" t="str">
        <f>+IFERROR(VLOOKUP(A27,Info!B:AK,5,0),"")</f>
        <v/>
      </c>
      <c r="D27" s="22" t="str">
        <f>+IFERROR(VLOOKUP(A27,Info!B:AK,8,0),"")</f>
        <v/>
      </c>
      <c r="E27" s="23" t="str">
        <f>+IFERROR(VLOOKUP(A27,Info!B:AK,16,0),"")</f>
        <v/>
      </c>
      <c r="F27" s="27" t="str">
        <f>+IFERROR(VLOOKUP(A27,Info!B:AK,18,0),"")</f>
        <v/>
      </c>
      <c r="G27" s="22" t="str">
        <f>IF(SUM(IFERROR(VLOOKUP(A27,Info!B:AK,16,0),0),IFERROR(VLOOKUP(A27,Info!B:AK,17,0),0))=0,"",SUM(IFERROR(VLOOKUP(A27,Info!B:AK,16,0),0),IFERROR(VLOOKUP(A27,Info!B:AK,17,0),0)))</f>
        <v/>
      </c>
      <c r="H27" s="25" t="str">
        <f>+IFERROR(VLOOKUP(A27,Info!B:AK,13,0),"")</f>
        <v/>
      </c>
      <c r="I27" s="26" t="str">
        <f>+IFERROR(VLOOKUP(A27,Info!B:AK,15,0),"")</f>
        <v/>
      </c>
      <c r="J27" s="43" t="str">
        <f>+IFERROR(VLOOKUP(A27,Info!B:AK,25,0),"")</f>
        <v/>
      </c>
      <c r="K27" s="44" t="str">
        <f t="shared" si="0"/>
        <v/>
      </c>
      <c r="L27" s="22" t="str">
        <f>+IFERROR(VLOOKUP(A27,Info!B:AK,27,0),"")</f>
        <v/>
      </c>
      <c r="M27" s="30" t="str">
        <f>+IFERROR(VLOOKUP(A27,Info!B:AK,21,0),"")</f>
        <v/>
      </c>
      <c r="N27" s="45"/>
      <c r="O27" s="46" t="str">
        <f>+IFERROR(VLOOKUP(A27,Info!B:AK,22,0),"")</f>
        <v/>
      </c>
    </row>
    <row r="28" spans="1:15" ht="15" customHeight="1" x14ac:dyDescent="0.2">
      <c r="A28" s="5">
        <f t="shared" si="1"/>
        <v>45</v>
      </c>
      <c r="B28" s="5" t="str">
        <f>+IFERROR(VLOOKUP(A28,Info!B:AK,3,0),"")</f>
        <v/>
      </c>
      <c r="C28" s="5" t="str">
        <f>+IFERROR(VLOOKUP(A28,Info!B:AK,5,0),"")</f>
        <v/>
      </c>
      <c r="D28" s="5" t="str">
        <f>+IFERROR(VLOOKUP(A28,Info!B:AK,8,0),"")</f>
        <v/>
      </c>
      <c r="E28" s="6" t="str">
        <f>+IFERROR(VLOOKUP(A28,Info!B:AK,16,0),"")</f>
        <v/>
      </c>
      <c r="F28" s="16" t="str">
        <f>+IFERROR(VLOOKUP(A28,Info!B:AK,18,0),"")</f>
        <v/>
      </c>
      <c r="G28" s="5" t="str">
        <f>IF(SUM(IFERROR(VLOOKUP(A28,Info!B:AK,16,0),0),IFERROR(VLOOKUP(A28,Info!B:AK,17,0),0))=0,"",SUM(IFERROR(VLOOKUP(A28,Info!B:AK,16,0),0),IFERROR(VLOOKUP(A28,Info!B:AK,17,0),0)))</f>
        <v/>
      </c>
      <c r="H28" s="7" t="str">
        <f>+IFERROR(VLOOKUP(A28,Info!B:AK,13,0),"")</f>
        <v/>
      </c>
      <c r="I28" s="8" t="str">
        <f>+IFERROR(VLOOKUP(A28,Info!B:AK,15,0),"")</f>
        <v/>
      </c>
      <c r="J28" s="39" t="str">
        <f>+IFERROR(VLOOKUP(A28,Info!B:AK,25,0),"")</f>
        <v/>
      </c>
      <c r="K28" s="40" t="str">
        <f t="shared" si="0"/>
        <v/>
      </c>
      <c r="L28" s="5" t="str">
        <f>+IFERROR(VLOOKUP(A28,Info!B:AK,27,0),"")</f>
        <v/>
      </c>
      <c r="M28" s="29" t="str">
        <f>+IFERROR(VLOOKUP(A28,Info!B:AK,21,0),"")</f>
        <v/>
      </c>
      <c r="N28" s="41"/>
      <c r="O28" s="42" t="str">
        <f>+IFERROR(VLOOKUP(A28,Info!B:AK,22,0),"")</f>
        <v/>
      </c>
    </row>
    <row r="29" spans="1:15" ht="15" customHeight="1" x14ac:dyDescent="0.2">
      <c r="A29" s="22">
        <f t="shared" si="1"/>
        <v>46</v>
      </c>
      <c r="B29" s="22" t="str">
        <f>+IFERROR(VLOOKUP(A29,Info!B:AK,3,0),"")</f>
        <v/>
      </c>
      <c r="C29" s="22" t="str">
        <f>+IFERROR(VLOOKUP(A29,Info!B:AK,5,0),"")</f>
        <v/>
      </c>
      <c r="D29" s="22" t="str">
        <f>+IFERROR(VLOOKUP(A29,Info!B:AK,8,0),"")</f>
        <v/>
      </c>
      <c r="E29" s="23" t="str">
        <f>+IFERROR(VLOOKUP(A29,Info!B:AK,16,0),"")</f>
        <v/>
      </c>
      <c r="F29" s="27" t="str">
        <f>+IFERROR(VLOOKUP(A29,Info!B:AK,18,0),"")</f>
        <v/>
      </c>
      <c r="G29" s="22" t="str">
        <f>IF(SUM(IFERROR(VLOOKUP(A29,Info!B:AK,16,0),0),IFERROR(VLOOKUP(A29,Info!B:AK,17,0),0))=0,"",SUM(IFERROR(VLOOKUP(A29,Info!B:AK,16,0),0),IFERROR(VLOOKUP(A29,Info!B:AK,17,0),0)))</f>
        <v/>
      </c>
      <c r="H29" s="25" t="str">
        <f>+IFERROR(VLOOKUP(A29,Info!B:AK,13,0),"")</f>
        <v/>
      </c>
      <c r="I29" s="26" t="str">
        <f>+IFERROR(VLOOKUP(A29,Info!B:AK,15,0),"")</f>
        <v/>
      </c>
      <c r="J29" s="43" t="str">
        <f>+IFERROR(VLOOKUP(A29,Info!B:AK,25,0),"")</f>
        <v/>
      </c>
      <c r="K29" s="44" t="str">
        <f t="shared" si="0"/>
        <v/>
      </c>
      <c r="L29" s="22" t="str">
        <f>+IFERROR(VLOOKUP(A29,Info!B:AK,27,0),"")</f>
        <v/>
      </c>
      <c r="M29" s="30" t="str">
        <f>+IFERROR(VLOOKUP(A29,Info!B:AK,21,0),"")</f>
        <v/>
      </c>
      <c r="N29" s="45"/>
      <c r="O29" s="46" t="str">
        <f>+IFERROR(VLOOKUP(A29,Info!B:AK,22,0),"")</f>
        <v/>
      </c>
    </row>
    <row r="30" spans="1:15" ht="15" customHeight="1" x14ac:dyDescent="0.2">
      <c r="A30" s="5">
        <f t="shared" si="1"/>
        <v>47</v>
      </c>
      <c r="B30" s="5" t="str">
        <f>+IFERROR(VLOOKUP(A30,Info!B:AK,3,0),"")</f>
        <v/>
      </c>
      <c r="C30" s="5" t="str">
        <f>+IFERROR(VLOOKUP(A30,Info!B:AK,5,0),"")</f>
        <v/>
      </c>
      <c r="D30" s="5" t="str">
        <f>+IFERROR(VLOOKUP(A30,Info!B:AK,8,0),"")</f>
        <v/>
      </c>
      <c r="E30" s="6" t="str">
        <f>+IFERROR(VLOOKUP(A30,Info!B:AK,16,0),"")</f>
        <v/>
      </c>
      <c r="F30" s="16" t="str">
        <f>+IFERROR(VLOOKUP(A30,Info!B:AK,18,0),"")</f>
        <v/>
      </c>
      <c r="G30" s="5" t="str">
        <f>IF(SUM(IFERROR(VLOOKUP(A30,Info!B:AK,16,0),0),IFERROR(VLOOKUP(A30,Info!B:AK,17,0),0))=0,"",SUM(IFERROR(VLOOKUP(A30,Info!B:AK,16,0),0),IFERROR(VLOOKUP(A30,Info!B:AK,17,0),0)))</f>
        <v/>
      </c>
      <c r="H30" s="7" t="str">
        <f>+IFERROR(VLOOKUP(A30,Info!B:AK,13,0),"")</f>
        <v/>
      </c>
      <c r="I30" s="8" t="str">
        <f>+IFERROR(VLOOKUP(A30,Info!B:AK,15,0),"")</f>
        <v/>
      </c>
      <c r="J30" s="39" t="str">
        <f>+IFERROR(VLOOKUP(A30,Info!B:AK,25,0),"")</f>
        <v/>
      </c>
      <c r="K30" s="40" t="str">
        <f t="shared" si="0"/>
        <v/>
      </c>
      <c r="L30" s="5" t="str">
        <f>+IFERROR(VLOOKUP(A30,Info!B:AK,27,0),"")</f>
        <v/>
      </c>
      <c r="M30" s="29" t="str">
        <f>+IFERROR(VLOOKUP(A30,Info!B:AK,21,0),"")</f>
        <v/>
      </c>
      <c r="N30" s="41"/>
      <c r="O30" s="42" t="str">
        <f>+IFERROR(VLOOKUP(A30,Info!B:AK,22,0),"")</f>
        <v/>
      </c>
    </row>
    <row r="31" spans="1:15" ht="15" customHeight="1" x14ac:dyDescent="0.2">
      <c r="A31" s="22">
        <f t="shared" si="1"/>
        <v>48</v>
      </c>
      <c r="B31" s="22" t="str">
        <f>+IFERROR(VLOOKUP(A31,Info!B:AK,3,0),"")</f>
        <v/>
      </c>
      <c r="C31" s="22" t="str">
        <f>+IFERROR(VLOOKUP(A31,Info!B:AK,5,0),"")</f>
        <v/>
      </c>
      <c r="D31" s="22" t="str">
        <f>+IFERROR(VLOOKUP(A31,Info!B:AK,8,0),"")</f>
        <v/>
      </c>
      <c r="E31" s="23" t="str">
        <f>+IFERROR(VLOOKUP(A31,Info!B:AK,16,0),"")</f>
        <v/>
      </c>
      <c r="F31" s="27" t="str">
        <f>+IFERROR(VLOOKUP(A31,Info!B:AK,18,0),"")</f>
        <v/>
      </c>
      <c r="G31" s="22" t="str">
        <f>IF(SUM(IFERROR(VLOOKUP(A31,Info!B:AK,16,0),0),IFERROR(VLOOKUP(A31,Info!B:AK,17,0),0))=0,"",SUM(IFERROR(VLOOKUP(A31,Info!B:AK,16,0),0),IFERROR(VLOOKUP(A31,Info!B:AK,17,0),0)))</f>
        <v/>
      </c>
      <c r="H31" s="25" t="str">
        <f>+IFERROR(VLOOKUP(A31,Info!B:AK,13,0),"")</f>
        <v/>
      </c>
      <c r="I31" s="26" t="str">
        <f>+IFERROR(VLOOKUP(A31,Info!B:AK,15,0),"")</f>
        <v/>
      </c>
      <c r="J31" s="43" t="str">
        <f>+IFERROR(VLOOKUP(A31,Info!B:AK,25,0),"")</f>
        <v/>
      </c>
      <c r="K31" s="44" t="str">
        <f t="shared" si="0"/>
        <v/>
      </c>
      <c r="L31" s="22" t="str">
        <f>+IFERROR(VLOOKUP(A31,Info!B:AK,27,0),"")</f>
        <v/>
      </c>
      <c r="M31" s="30" t="str">
        <f>+IFERROR(VLOOKUP(A31,Info!B:AK,21,0),"")</f>
        <v/>
      </c>
      <c r="N31" s="45"/>
      <c r="O31" s="46" t="str">
        <f>+IFERROR(VLOOKUP(A31,Info!B:AK,22,0),"")</f>
        <v/>
      </c>
    </row>
    <row r="32" spans="1:15" ht="15" customHeight="1" thickBot="1" x14ac:dyDescent="0.25">
      <c r="A32" s="5">
        <f t="shared" si="1"/>
        <v>49</v>
      </c>
      <c r="B32" s="5" t="str">
        <f>+IFERROR(VLOOKUP(A32,Info!B:AK,3,0),"")</f>
        <v/>
      </c>
      <c r="C32" s="5" t="str">
        <f>+IFERROR(VLOOKUP(A32,Info!B:AK,5,0),"")</f>
        <v/>
      </c>
      <c r="D32" s="5" t="str">
        <f>+IFERROR(VLOOKUP(A32,Info!B:AK,8,0),"")</f>
        <v/>
      </c>
      <c r="E32" s="6" t="str">
        <f>+IFERROR(VLOOKUP(A32,Info!B:AK,16,0),"")</f>
        <v/>
      </c>
      <c r="F32" s="17" t="str">
        <f>+IFERROR(VLOOKUP(A32,Info!B:AK,18,0),"")</f>
        <v/>
      </c>
      <c r="G32" s="5" t="str">
        <f>IF(SUM(IFERROR(VLOOKUP(A32,Info!B:AK,16,0),0),IFERROR(VLOOKUP(A32,Info!B:AK,17,0),0))=0,"",SUM(IFERROR(VLOOKUP(A32,Info!B:AK,16,0),0),IFERROR(VLOOKUP(A32,Info!B:AK,17,0),0)))</f>
        <v/>
      </c>
      <c r="H32" s="7" t="str">
        <f>+IFERROR(VLOOKUP(A32,Info!B:AK,13,0),"")</f>
        <v/>
      </c>
      <c r="I32" s="8" t="str">
        <f>+IFERROR(VLOOKUP(A32,Info!B:AK,15,0),"")</f>
        <v/>
      </c>
      <c r="J32" s="39" t="str">
        <f>+IFERROR(VLOOKUP(A32,Info!B:AK,25,0),"")</f>
        <v/>
      </c>
      <c r="K32" s="40" t="str">
        <f t="shared" si="0"/>
        <v/>
      </c>
      <c r="L32" s="5" t="str">
        <f>+IFERROR(VLOOKUP(A32,Info!B:AK,27,0),"")</f>
        <v/>
      </c>
      <c r="M32" s="29" t="str">
        <f>+IFERROR(VLOOKUP(A32,Info!B:AK,21,0),"")</f>
        <v/>
      </c>
      <c r="N32" s="41"/>
      <c r="O32" s="42" t="str">
        <f>+IFERROR(VLOOKUP(A32,Info!B:AK,22,0),"")</f>
        <v/>
      </c>
    </row>
    <row r="33" spans="1:18" ht="15.75" customHeight="1" thickBot="1" x14ac:dyDescent="0.25">
      <c r="A33" s="47" t="str">
        <f>IF(B8="","",COUNT(B8:B32))</f>
        <v/>
      </c>
      <c r="B33" s="102" t="s">
        <v>16</v>
      </c>
      <c r="C33" s="102"/>
      <c r="D33" s="103"/>
      <c r="E33" s="9">
        <f>SUM(E8:E32)</f>
        <v>0</v>
      </c>
      <c r="F33" s="48"/>
      <c r="G33" s="49">
        <f t="shared" ref="G33:K33" si="2">SUM(G8:G32)</f>
        <v>0</v>
      </c>
      <c r="H33" s="50">
        <f t="shared" si="2"/>
        <v>0</v>
      </c>
      <c r="I33" s="50">
        <f t="shared" si="2"/>
        <v>0</v>
      </c>
      <c r="J33" s="51">
        <f t="shared" si="2"/>
        <v>0</v>
      </c>
      <c r="K33" s="52">
        <f t="shared" si="2"/>
        <v>0</v>
      </c>
      <c r="L33" s="53">
        <f>SUM(L8:L32)</f>
        <v>0</v>
      </c>
      <c r="M33" s="31"/>
      <c r="N33" s="31">
        <f>SUM(N8:N32)*0.6</f>
        <v>0</v>
      </c>
      <c r="O33" s="54"/>
    </row>
    <row r="34" spans="1:18" ht="13.5" x14ac:dyDescent="0.2">
      <c r="A34" s="10"/>
      <c r="B34" s="10"/>
      <c r="C34" s="10"/>
      <c r="D34" s="10"/>
      <c r="E34" s="11"/>
      <c r="F34" s="31"/>
      <c r="G34" s="31"/>
      <c r="H34" s="31"/>
      <c r="I34" s="31"/>
      <c r="J34" s="55"/>
      <c r="K34" s="56"/>
      <c r="L34" s="31"/>
      <c r="M34" s="31"/>
      <c r="N34" s="31"/>
      <c r="O34" s="54"/>
    </row>
    <row r="35" spans="1:18" ht="15" customHeight="1" x14ac:dyDescent="0.2">
      <c r="B35" s="93" t="s">
        <v>17</v>
      </c>
      <c r="C35" s="93"/>
      <c r="D35" s="64"/>
      <c r="E35" s="57" t="s">
        <v>18</v>
      </c>
      <c r="F35" s="94" t="s">
        <v>19</v>
      </c>
      <c r="G35" s="94"/>
      <c r="H35" s="94"/>
      <c r="I35" s="94"/>
      <c r="J35" s="94"/>
      <c r="K35" s="92" t="s">
        <v>20</v>
      </c>
      <c r="L35" s="92"/>
      <c r="M35" s="95"/>
      <c r="N35" s="95"/>
      <c r="O35" s="95"/>
    </row>
    <row r="36" spans="1:18" ht="13.5" x14ac:dyDescent="0.2">
      <c r="B36" s="63"/>
      <c r="C36" s="63"/>
      <c r="D36" s="63"/>
      <c r="E36" s="63"/>
      <c r="F36" s="63"/>
      <c r="G36" s="63"/>
      <c r="H36" s="63"/>
      <c r="L36" s="63"/>
      <c r="N36" s="63"/>
      <c r="O36" s="54"/>
    </row>
    <row r="37" spans="1:18" ht="13.5" x14ac:dyDescent="0.2">
      <c r="B37" s="93" t="s">
        <v>21</v>
      </c>
      <c r="C37" s="93"/>
      <c r="D37" s="60"/>
      <c r="E37" s="32" t="s">
        <v>21</v>
      </c>
      <c r="F37" s="60"/>
      <c r="G37" s="65"/>
      <c r="H37" s="60"/>
      <c r="I37" s="65"/>
      <c r="J37" s="61"/>
      <c r="K37" s="32" t="s">
        <v>21</v>
      </c>
      <c r="L37" s="60"/>
      <c r="M37" s="65"/>
      <c r="N37" s="60"/>
      <c r="O37" s="62"/>
    </row>
    <row r="38" spans="1:18" ht="13.5" x14ac:dyDescent="0.2">
      <c r="B38" s="63"/>
      <c r="C38" s="63"/>
      <c r="D38" s="63"/>
      <c r="E38" s="63"/>
      <c r="F38" s="63"/>
      <c r="G38" s="63"/>
      <c r="H38" s="63"/>
      <c r="L38" s="63"/>
      <c r="M38" s="63"/>
      <c r="N38" s="63"/>
      <c r="O38" s="54"/>
      <c r="P38" s="13"/>
      <c r="Q38" s="13"/>
      <c r="R38" s="13"/>
    </row>
    <row r="39" spans="1:18" ht="13.5" x14ac:dyDescent="0.2">
      <c r="B39" s="63"/>
      <c r="C39" s="63"/>
      <c r="D39" s="63"/>
      <c r="E39" s="63"/>
      <c r="F39" s="63"/>
      <c r="G39" s="63"/>
      <c r="H39" s="63"/>
      <c r="L39" s="63"/>
      <c r="M39" s="63"/>
      <c r="N39" s="63"/>
    </row>
    <row r="40" spans="1:18" ht="13.5" x14ac:dyDescent="0.2">
      <c r="B40" s="63"/>
      <c r="C40" s="63"/>
      <c r="D40" s="63"/>
      <c r="E40" s="63"/>
      <c r="F40" s="63"/>
      <c r="G40" s="63"/>
      <c r="H40" s="63"/>
      <c r="L40" s="63"/>
      <c r="M40" s="63"/>
      <c r="N40" s="63"/>
    </row>
    <row r="41" spans="1:18" ht="13.5" x14ac:dyDescent="0.2">
      <c r="B41" s="63"/>
      <c r="C41" s="63"/>
      <c r="D41" s="63"/>
      <c r="E41" s="63"/>
      <c r="F41" s="63"/>
      <c r="G41" s="63"/>
      <c r="H41" s="63"/>
      <c r="L41" s="63"/>
      <c r="M41" s="63"/>
      <c r="N41" s="63"/>
    </row>
    <row r="42" spans="1:18" ht="13.5" x14ac:dyDescent="0.2">
      <c r="B42" s="63"/>
      <c r="C42" s="63"/>
      <c r="D42" s="63"/>
      <c r="E42" s="63"/>
      <c r="F42" s="63"/>
      <c r="G42" s="63"/>
      <c r="H42" s="63"/>
      <c r="L42" s="63"/>
      <c r="M42" s="63"/>
      <c r="N42" s="63"/>
    </row>
    <row r="43" spans="1:18" ht="13.5" x14ac:dyDescent="0.2">
      <c r="B43" s="63"/>
      <c r="C43" s="63"/>
      <c r="D43" s="63"/>
      <c r="E43" s="63"/>
      <c r="F43" s="63"/>
      <c r="G43" s="63"/>
      <c r="H43" s="63"/>
      <c r="L43" s="63"/>
      <c r="M43" s="63"/>
      <c r="N43" s="63"/>
    </row>
    <row r="44" spans="1:18" ht="13.5" x14ac:dyDescent="0.2">
      <c r="B44" s="63"/>
      <c r="C44" s="63"/>
      <c r="D44" s="63"/>
      <c r="E44" s="63"/>
      <c r="F44" s="63"/>
      <c r="G44" s="63"/>
      <c r="H44" s="63"/>
      <c r="L44" s="63"/>
      <c r="M44" s="63"/>
      <c r="N44" s="63"/>
    </row>
    <row r="45" spans="1:18" ht="13.5" x14ac:dyDescent="0.2">
      <c r="B45" s="63"/>
      <c r="C45" s="63"/>
      <c r="D45" s="63"/>
      <c r="E45" s="63"/>
      <c r="F45" s="63"/>
      <c r="G45" s="63"/>
      <c r="H45" s="63"/>
      <c r="L45" s="63"/>
      <c r="M45" s="63"/>
      <c r="N45" s="63"/>
    </row>
    <row r="46" spans="1:18" ht="13.5" x14ac:dyDescent="0.2">
      <c r="B46" s="63"/>
      <c r="C46" s="63"/>
      <c r="D46" s="63"/>
      <c r="E46" s="63"/>
      <c r="F46" s="63"/>
      <c r="G46" s="63"/>
      <c r="H46" s="63"/>
      <c r="L46" s="63"/>
      <c r="M46" s="63"/>
      <c r="N46" s="63"/>
    </row>
    <row r="47" spans="1:18" ht="13.5" x14ac:dyDescent="0.2">
      <c r="B47" s="63"/>
      <c r="C47" s="63"/>
      <c r="D47" s="63"/>
      <c r="E47" s="63"/>
      <c r="F47" s="63"/>
      <c r="G47" s="63"/>
      <c r="H47" s="63"/>
      <c r="L47" s="63"/>
      <c r="M47" s="63"/>
      <c r="N47" s="63"/>
    </row>
    <row r="48" spans="1:18" ht="13.5" x14ac:dyDescent="0.2">
      <c r="B48" s="63"/>
      <c r="C48" s="63"/>
      <c r="D48" s="63"/>
      <c r="E48" s="63"/>
      <c r="F48" s="63"/>
      <c r="G48" s="63"/>
      <c r="H48" s="63"/>
      <c r="L48" s="63"/>
      <c r="M48" s="63"/>
      <c r="N48" s="63"/>
    </row>
  </sheetData>
  <sheetProtection selectLockedCells="1"/>
  <mergeCells count="29">
    <mergeCell ref="A4:C4"/>
    <mergeCell ref="F4:G4"/>
    <mergeCell ref="K4:L4"/>
    <mergeCell ref="A1:O1"/>
    <mergeCell ref="A2:O2"/>
    <mergeCell ref="A3:C3"/>
    <mergeCell ref="F3:G3"/>
    <mergeCell ref="K3:L3"/>
    <mergeCell ref="A6:A7"/>
    <mergeCell ref="B6:B7"/>
    <mergeCell ref="C6:C7"/>
    <mergeCell ref="D6:D7"/>
    <mergeCell ref="E6:E7"/>
    <mergeCell ref="B37:C37"/>
    <mergeCell ref="M6:M7"/>
    <mergeCell ref="N6:N7"/>
    <mergeCell ref="O6:O7"/>
    <mergeCell ref="B33:D33"/>
    <mergeCell ref="B35:C35"/>
    <mergeCell ref="F35:J35"/>
    <mergeCell ref="K35:L35"/>
    <mergeCell ref="M35:O35"/>
    <mergeCell ref="G6:G7"/>
    <mergeCell ref="H6:H7"/>
    <mergeCell ref="I6:I7"/>
    <mergeCell ref="J6:J7"/>
    <mergeCell ref="K6:K7"/>
    <mergeCell ref="L6:L7"/>
    <mergeCell ref="F6:F7"/>
  </mergeCells>
  <pageMargins left="0.23622047244094491" right="0.23622047244094491" top="0.35433070866141736" bottom="0.35433070866141736" header="0.31496062992125984" footer="0.31496062992125984"/>
  <pageSetup scale="79" orientation="landscape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223"/>
  <sheetViews>
    <sheetView topLeftCell="S1" workbookViewId="0">
      <selection activeCell="X10" sqref="X10"/>
    </sheetView>
  </sheetViews>
  <sheetFormatPr defaultColWidth="11.42578125" defaultRowHeight="15" x14ac:dyDescent="0.25"/>
  <cols>
    <col min="1" max="1" width="12.28515625" customWidth="1"/>
    <col min="2" max="2" width="16" customWidth="1"/>
    <col min="3" max="3" width="7.42578125" customWidth="1"/>
    <col min="4" max="4" width="8.7109375" customWidth="1"/>
    <col min="5" max="5" width="8" customWidth="1"/>
    <col min="6" max="6" width="7.140625" customWidth="1"/>
    <col min="7" max="7" width="47.5703125" customWidth="1"/>
    <col min="8" max="8" width="81.140625" customWidth="1"/>
    <col min="9" max="10" width="13" customWidth="1"/>
    <col min="11" max="11" width="6.5703125" customWidth="1"/>
    <col min="12" max="12" width="7.140625" customWidth="1"/>
    <col min="13" max="13" width="28.28515625" customWidth="1"/>
    <col min="14" max="14" width="7.140625" customWidth="1"/>
    <col min="15" max="15" width="7.5703125" customWidth="1"/>
    <col min="16" max="16" width="13.28515625" customWidth="1"/>
    <col min="17" max="17" width="9.28515625" customWidth="1"/>
    <col min="18" max="18" width="15.7109375" customWidth="1"/>
    <col min="19" max="19" width="15.140625" customWidth="1"/>
    <col min="20" max="20" width="21.28515625" customWidth="1"/>
    <col min="21" max="21" width="11.7109375" customWidth="1"/>
    <col min="22" max="22" width="14.140625" customWidth="1"/>
    <col min="23" max="23" width="22.5703125" customWidth="1"/>
    <col min="24" max="24" width="24.85546875" customWidth="1"/>
    <col min="25" max="25" width="23.42578125" customWidth="1"/>
    <col min="26" max="26" width="16.140625" customWidth="1"/>
    <col min="27" max="27" width="15.5703125" customWidth="1"/>
    <col min="28" max="28" width="20.140625" style="19" customWidth="1"/>
    <col min="29" max="31" width="20.140625" customWidth="1"/>
  </cols>
  <sheetData>
    <row r="1" spans="1:28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43</v>
      </c>
      <c r="V1" t="s">
        <v>46</v>
      </c>
      <c r="W1" t="s">
        <v>47</v>
      </c>
      <c r="X1" s="19" t="s">
        <v>50</v>
      </c>
      <c r="Y1" s="19" t="s">
        <v>51</v>
      </c>
      <c r="Z1" s="19" t="s">
        <v>42</v>
      </c>
      <c r="AA1" t="s">
        <v>44</v>
      </c>
      <c r="AB1" t="s">
        <v>45</v>
      </c>
    </row>
    <row r="2" spans="1:28" x14ac:dyDescent="0.25">
      <c r="A2">
        <v>4069</v>
      </c>
      <c r="B2">
        <v>494883</v>
      </c>
      <c r="C2">
        <v>204</v>
      </c>
      <c r="D2">
        <v>18</v>
      </c>
      <c r="E2">
        <v>11</v>
      </c>
      <c r="F2">
        <v>2014</v>
      </c>
      <c r="G2" t="s">
        <v>74</v>
      </c>
      <c r="H2" t="s">
        <v>75</v>
      </c>
      <c r="I2" t="s">
        <v>52</v>
      </c>
      <c r="J2" t="s">
        <v>52</v>
      </c>
      <c r="K2">
        <v>9</v>
      </c>
      <c r="L2">
        <v>101.23</v>
      </c>
      <c r="M2" t="s">
        <v>54</v>
      </c>
      <c r="N2">
        <v>0</v>
      </c>
      <c r="O2">
        <v>1</v>
      </c>
      <c r="P2">
        <v>0</v>
      </c>
      <c r="Q2" t="s">
        <v>52</v>
      </c>
      <c r="R2" s="14">
        <v>41835.334791666668</v>
      </c>
      <c r="S2" s="14" t="s">
        <v>76</v>
      </c>
      <c r="T2" s="14" t="s">
        <v>77</v>
      </c>
      <c r="U2" s="14" t="s">
        <v>53</v>
      </c>
      <c r="V2" s="15">
        <v>0</v>
      </c>
      <c r="W2" s="15" t="s">
        <v>52</v>
      </c>
      <c r="X2" s="19">
        <v>41841.491157407407</v>
      </c>
      <c r="Y2" s="19">
        <v>41841.494629629633</v>
      </c>
      <c r="Z2" s="15">
        <v>0</v>
      </c>
      <c r="AA2" s="15">
        <f>IFERROR(IF(OR(C2&lt;&gt;C1,ABS(TEXT(Tabla_ss2p_pedidos[[#This Row],[fecha_solicitud]],"d")-TEXT(Tabla_ss2p_pedidos[[#This Row],[fecha_solicitud]],"d"))&gt;=1),1,AA1+1),1)</f>
        <v>1</v>
      </c>
      <c r="AB2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111201420421072014</v>
      </c>
    </row>
    <row r="3" spans="1:28" x14ac:dyDescent="0.25">
      <c r="A3">
        <v>4062</v>
      </c>
      <c r="B3">
        <v>13740</v>
      </c>
      <c r="C3">
        <v>204</v>
      </c>
      <c r="D3">
        <v>17</v>
      </c>
      <c r="E3">
        <v>11</v>
      </c>
      <c r="F3">
        <v>2014</v>
      </c>
      <c r="G3" t="s">
        <v>182</v>
      </c>
      <c r="H3" t="s">
        <v>183</v>
      </c>
      <c r="I3" t="s">
        <v>184</v>
      </c>
      <c r="J3" t="s">
        <v>185</v>
      </c>
      <c r="K3">
        <v>149</v>
      </c>
      <c r="L3">
        <v>254.69</v>
      </c>
      <c r="M3" t="s">
        <v>54</v>
      </c>
      <c r="N3">
        <v>0</v>
      </c>
      <c r="O3">
        <v>2</v>
      </c>
      <c r="P3">
        <v>0</v>
      </c>
      <c r="Q3" t="s">
        <v>52</v>
      </c>
      <c r="R3" s="14">
        <v>41835.334791666668</v>
      </c>
      <c r="S3" s="14" t="s">
        <v>76</v>
      </c>
      <c r="T3" s="14" t="s">
        <v>77</v>
      </c>
      <c r="U3" s="14" t="s">
        <v>53</v>
      </c>
      <c r="V3" s="15">
        <v>0</v>
      </c>
      <c r="W3" s="15" t="s">
        <v>52</v>
      </c>
      <c r="X3" s="19">
        <v>41841.591851851852</v>
      </c>
      <c r="Y3" s="19">
        <v>41841.595277777778</v>
      </c>
      <c r="Z3" s="15">
        <v>0</v>
      </c>
      <c r="AA3" s="15">
        <f>IFERROR(IF(OR(C3&lt;&gt;C2,ABS(TEXT(Tabla_ss2p_pedidos[[#This Row],[fecha_solicitud]],"d")-TEXT(Tabla_ss2p_pedidos[[#This Row],[fecha_solicitud]],"d"))&gt;=1),1,AA2+1),1)</f>
        <v>2</v>
      </c>
      <c r="AB3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211201420421072014</v>
      </c>
    </row>
    <row r="4" spans="1:28" x14ac:dyDescent="0.25">
      <c r="A4">
        <v>4050</v>
      </c>
      <c r="B4">
        <v>502981</v>
      </c>
      <c r="C4">
        <v>204</v>
      </c>
      <c r="D4">
        <v>14</v>
      </c>
      <c r="E4">
        <v>11</v>
      </c>
      <c r="F4">
        <v>2014</v>
      </c>
      <c r="G4" t="s">
        <v>186</v>
      </c>
      <c r="H4" t="s">
        <v>187</v>
      </c>
      <c r="I4" t="s">
        <v>188</v>
      </c>
      <c r="J4" t="s">
        <v>188</v>
      </c>
      <c r="K4">
        <v>4</v>
      </c>
      <c r="L4">
        <v>82.78</v>
      </c>
      <c r="M4" t="s">
        <v>58</v>
      </c>
      <c r="N4">
        <v>0</v>
      </c>
      <c r="O4">
        <v>1</v>
      </c>
      <c r="P4">
        <v>0</v>
      </c>
      <c r="Q4" t="s">
        <v>52</v>
      </c>
      <c r="R4" s="14">
        <v>41835.334791666668</v>
      </c>
      <c r="S4" s="14" t="s">
        <v>59</v>
      </c>
      <c r="T4" s="14" t="s">
        <v>189</v>
      </c>
      <c r="U4" s="14" t="s">
        <v>53</v>
      </c>
      <c r="V4" s="15">
        <v>0</v>
      </c>
      <c r="W4" s="15" t="s">
        <v>52</v>
      </c>
      <c r="X4" s="19">
        <v>41841.592766203707</v>
      </c>
      <c r="Y4" s="19">
        <v>41841.596516203703</v>
      </c>
      <c r="Z4" s="15">
        <v>0</v>
      </c>
      <c r="AA4" s="15">
        <f>IFERROR(IF(OR(C4&lt;&gt;C3,ABS(TEXT(Tabla_ss2p_pedidos[[#This Row],[fecha_solicitud]],"d")-TEXT(Tabla_ss2p_pedidos[[#This Row],[fecha_solicitud]],"d"))&gt;=1),1,AA3+1),1)</f>
        <v>3</v>
      </c>
      <c r="AB4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311201420421072014</v>
      </c>
    </row>
    <row r="5" spans="1:28" x14ac:dyDescent="0.25">
      <c r="A5">
        <v>4027</v>
      </c>
      <c r="B5">
        <v>506217</v>
      </c>
      <c r="C5">
        <v>204</v>
      </c>
      <c r="D5">
        <v>10</v>
      </c>
      <c r="E5">
        <v>11</v>
      </c>
      <c r="F5">
        <v>2014</v>
      </c>
      <c r="G5" t="s">
        <v>190</v>
      </c>
      <c r="H5" t="s">
        <v>191</v>
      </c>
      <c r="I5" t="s">
        <v>192</v>
      </c>
      <c r="J5" t="s">
        <v>52</v>
      </c>
      <c r="K5">
        <v>2</v>
      </c>
      <c r="L5">
        <v>60.81</v>
      </c>
      <c r="M5" t="s">
        <v>56</v>
      </c>
      <c r="N5">
        <v>0</v>
      </c>
      <c r="O5">
        <v>1</v>
      </c>
      <c r="P5">
        <v>0</v>
      </c>
      <c r="Q5" t="s">
        <v>52</v>
      </c>
      <c r="R5" s="14">
        <v>41835.334780092591</v>
      </c>
      <c r="S5" s="14" t="s">
        <v>76</v>
      </c>
      <c r="T5" s="14" t="s">
        <v>77</v>
      </c>
      <c r="U5" s="14" t="s">
        <v>53</v>
      </c>
      <c r="V5" s="15">
        <v>0</v>
      </c>
      <c r="W5" s="15" t="s">
        <v>52</v>
      </c>
      <c r="X5" s="19">
        <v>41841.592905092592</v>
      </c>
      <c r="Y5" s="19">
        <v>41841.596689814818</v>
      </c>
      <c r="Z5" s="15">
        <v>0</v>
      </c>
      <c r="AA5" s="15">
        <f>IFERROR(IF(OR(C5&lt;&gt;C4,ABS(TEXT(Tabla_ss2p_pedidos[[#This Row],[fecha_solicitud]],"d")-TEXT(Tabla_ss2p_pedidos[[#This Row],[fecha_solicitud]],"d"))&gt;=1),1,AA4+1),1)</f>
        <v>4</v>
      </c>
      <c r="AB5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411201420421072014</v>
      </c>
    </row>
    <row r="6" spans="1:28" x14ac:dyDescent="0.25">
      <c r="A6">
        <v>4004</v>
      </c>
      <c r="B6">
        <v>418718</v>
      </c>
      <c r="C6">
        <v>204</v>
      </c>
      <c r="D6">
        <v>7</v>
      </c>
      <c r="E6">
        <v>11</v>
      </c>
      <c r="F6">
        <v>2014</v>
      </c>
      <c r="G6" t="s">
        <v>204</v>
      </c>
      <c r="H6" t="s">
        <v>205</v>
      </c>
      <c r="I6" t="s">
        <v>206</v>
      </c>
      <c r="J6" t="s">
        <v>52</v>
      </c>
      <c r="K6">
        <v>47</v>
      </c>
      <c r="L6">
        <v>35.200000000000003</v>
      </c>
      <c r="M6" t="s">
        <v>56</v>
      </c>
      <c r="N6">
        <v>0</v>
      </c>
      <c r="O6">
        <v>1</v>
      </c>
      <c r="P6">
        <v>0</v>
      </c>
      <c r="Q6" t="s">
        <v>52</v>
      </c>
      <c r="R6" s="14">
        <v>41835.334768518522</v>
      </c>
      <c r="S6" s="14" t="s">
        <v>59</v>
      </c>
      <c r="T6" s="14" t="s">
        <v>77</v>
      </c>
      <c r="U6" s="14" t="s">
        <v>53</v>
      </c>
      <c r="V6" s="15">
        <v>0</v>
      </c>
      <c r="W6" s="15" t="s">
        <v>52</v>
      </c>
      <c r="X6" s="19">
        <v>41841.593032407407</v>
      </c>
      <c r="Y6" s="19">
        <v>41841.600937499999</v>
      </c>
      <c r="Z6" s="15">
        <v>0</v>
      </c>
      <c r="AA6" s="15">
        <f>IFERROR(IF(OR(C6&lt;&gt;C5,ABS(TEXT(Tabla_ss2p_pedidos[[#This Row],[fecha_solicitud]],"d")-TEXT(Tabla_ss2p_pedidos[[#This Row],[fecha_solicitud]],"d"))&gt;=1),1,AA5+1),1)</f>
        <v>5</v>
      </c>
      <c r="AB6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511201420421072014</v>
      </c>
    </row>
    <row r="7" spans="1:28" x14ac:dyDescent="0.25">
      <c r="A7" s="21">
        <v>4029</v>
      </c>
      <c r="B7" s="21">
        <v>321724</v>
      </c>
      <c r="C7" s="21">
        <v>204</v>
      </c>
      <c r="D7" s="21">
        <v>10</v>
      </c>
      <c r="E7" s="21">
        <v>11</v>
      </c>
      <c r="F7" s="21">
        <v>2014</v>
      </c>
      <c r="G7" s="21" t="s">
        <v>201</v>
      </c>
      <c r="H7" s="21" t="s">
        <v>202</v>
      </c>
      <c r="I7" s="21" t="s">
        <v>203</v>
      </c>
      <c r="J7" s="21" t="s">
        <v>203</v>
      </c>
      <c r="K7" s="21">
        <v>87</v>
      </c>
      <c r="L7" s="21">
        <v>69.03</v>
      </c>
      <c r="M7" s="21" t="s">
        <v>56</v>
      </c>
      <c r="N7" s="21">
        <v>0</v>
      </c>
      <c r="O7" s="21">
        <v>1</v>
      </c>
      <c r="P7" s="21">
        <v>0</v>
      </c>
      <c r="Q7" s="21" t="s">
        <v>52</v>
      </c>
      <c r="R7" s="66">
        <v>41835.334780092591</v>
      </c>
      <c r="S7" s="66" t="s">
        <v>59</v>
      </c>
      <c r="T7" s="66" t="s">
        <v>77</v>
      </c>
      <c r="U7" s="66" t="s">
        <v>53</v>
      </c>
      <c r="V7" s="67">
        <v>0</v>
      </c>
      <c r="W7" s="67" t="s">
        <v>52</v>
      </c>
      <c r="X7" s="68">
        <v>41841.593148148146</v>
      </c>
      <c r="Y7" s="68">
        <v>41841.600891203707</v>
      </c>
      <c r="Z7" s="67">
        <v>0</v>
      </c>
      <c r="AA7" s="67">
        <f>IFERROR(IF(OR(C7&lt;&gt;C6,ABS(TEXT(Tabla_ss2p_pedidos[[#This Row],[fecha_solicitud]],"d")-TEXT(Tabla_ss2p_pedidos[[#This Row],[fecha_solicitud]],"d"))&gt;=1),1,AA6+1),1)</f>
        <v>6</v>
      </c>
      <c r="AB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611201420421072014</v>
      </c>
    </row>
    <row r="8" spans="1:28" x14ac:dyDescent="0.25">
      <c r="A8" s="21">
        <v>4045</v>
      </c>
      <c r="B8" s="21">
        <v>369661</v>
      </c>
      <c r="C8" s="21">
        <v>204</v>
      </c>
      <c r="D8" s="21">
        <v>13</v>
      </c>
      <c r="E8" s="21">
        <v>11</v>
      </c>
      <c r="F8" s="21">
        <v>2014</v>
      </c>
      <c r="G8" s="21" t="s">
        <v>196</v>
      </c>
      <c r="H8" s="21" t="s">
        <v>197</v>
      </c>
      <c r="I8" s="21" t="s">
        <v>198</v>
      </c>
      <c r="J8" s="21" t="s">
        <v>199</v>
      </c>
      <c r="K8" s="21">
        <v>50</v>
      </c>
      <c r="L8" s="21">
        <v>45.7</v>
      </c>
      <c r="M8" s="21" t="s">
        <v>56</v>
      </c>
      <c r="N8" s="21">
        <v>0</v>
      </c>
      <c r="O8" s="21">
        <v>1</v>
      </c>
      <c r="P8" s="21">
        <v>0</v>
      </c>
      <c r="Q8" s="21" t="s">
        <v>52</v>
      </c>
      <c r="R8" s="66">
        <v>41835.334780092591</v>
      </c>
      <c r="S8" s="66" t="s">
        <v>200</v>
      </c>
      <c r="T8" s="66" t="s">
        <v>189</v>
      </c>
      <c r="U8" s="66" t="s">
        <v>53</v>
      </c>
      <c r="V8" s="67">
        <v>0</v>
      </c>
      <c r="W8" s="67" t="s">
        <v>52</v>
      </c>
      <c r="X8" s="68">
        <v>41841.593298611115</v>
      </c>
      <c r="Y8" s="68">
        <v>41841.600856481484</v>
      </c>
      <c r="Z8" s="67">
        <v>0</v>
      </c>
      <c r="AA8" s="67">
        <f>IFERROR(IF(OR(C8&lt;&gt;C7,ABS(TEXT(Tabla_ss2p_pedidos[[#This Row],[fecha_solicitud]],"d")-TEXT(Tabla_ss2p_pedidos[[#This Row],[fecha_solicitud]],"d"))&gt;=1),1,AA7+1),1)</f>
        <v>7</v>
      </c>
      <c r="AB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711201420421072014</v>
      </c>
    </row>
    <row r="9" spans="1:28" x14ac:dyDescent="0.25">
      <c r="A9" s="21">
        <v>4028</v>
      </c>
      <c r="B9" s="21">
        <v>505045</v>
      </c>
      <c r="C9" s="21">
        <v>204</v>
      </c>
      <c r="D9" s="21">
        <v>10</v>
      </c>
      <c r="E9" s="21">
        <v>11</v>
      </c>
      <c r="F9" s="21">
        <v>2014</v>
      </c>
      <c r="G9" s="21" t="s">
        <v>193</v>
      </c>
      <c r="H9" s="21" t="s">
        <v>194</v>
      </c>
      <c r="I9" s="21" t="s">
        <v>195</v>
      </c>
      <c r="J9" s="21" t="s">
        <v>52</v>
      </c>
      <c r="K9" s="21">
        <v>3</v>
      </c>
      <c r="L9" s="21">
        <v>56.1</v>
      </c>
      <c r="M9" s="21" t="s">
        <v>56</v>
      </c>
      <c r="N9" s="21">
        <v>0</v>
      </c>
      <c r="O9" s="21">
        <v>1</v>
      </c>
      <c r="P9" s="21">
        <v>0</v>
      </c>
      <c r="Q9" s="21" t="s">
        <v>52</v>
      </c>
      <c r="R9" s="66">
        <v>41835.334780092591</v>
      </c>
      <c r="S9" s="66" t="s">
        <v>76</v>
      </c>
      <c r="T9" s="66" t="s">
        <v>77</v>
      </c>
      <c r="U9" s="66" t="s">
        <v>53</v>
      </c>
      <c r="V9" s="67">
        <v>0</v>
      </c>
      <c r="W9" s="67" t="s">
        <v>52</v>
      </c>
      <c r="X9" s="68">
        <v>41841.593449074076</v>
      </c>
      <c r="Y9" s="68">
        <v>41841.600810185184</v>
      </c>
      <c r="Z9" s="67">
        <v>0</v>
      </c>
      <c r="AA9" s="67">
        <f>IFERROR(IF(OR(C9&lt;&gt;C8,ABS(TEXT(Tabla_ss2p_pedidos[[#This Row],[fecha_solicitud]],"d")-TEXT(Tabla_ss2p_pedidos[[#This Row],[fecha_solicitud]],"d"))&gt;=1),1,AA8+1),1)</f>
        <v>8</v>
      </c>
      <c r="AB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811201420421072014</v>
      </c>
    </row>
    <row r="10" spans="1:28" x14ac:dyDescent="0.25">
      <c r="A10" s="21">
        <v>4064</v>
      </c>
      <c r="B10" s="21">
        <v>463450</v>
      </c>
      <c r="C10" s="21">
        <v>204</v>
      </c>
      <c r="D10" s="21">
        <v>17</v>
      </c>
      <c r="E10" s="21">
        <v>11</v>
      </c>
      <c r="F10" s="21">
        <v>2014</v>
      </c>
      <c r="G10" s="21" t="s">
        <v>207</v>
      </c>
      <c r="H10" s="21" t="s">
        <v>208</v>
      </c>
      <c r="I10" s="21" t="s">
        <v>209</v>
      </c>
      <c r="J10" s="21" t="s">
        <v>52</v>
      </c>
      <c r="K10" s="21">
        <v>24</v>
      </c>
      <c r="L10" s="21">
        <v>150.74</v>
      </c>
      <c r="M10" s="21" t="s">
        <v>54</v>
      </c>
      <c r="N10" s="21">
        <v>0</v>
      </c>
      <c r="O10" s="21">
        <v>1</v>
      </c>
      <c r="P10" s="21">
        <v>0</v>
      </c>
      <c r="Q10" s="21" t="s">
        <v>52</v>
      </c>
      <c r="R10" s="66">
        <v>41835.334791666668</v>
      </c>
      <c r="S10" s="66" t="s">
        <v>210</v>
      </c>
      <c r="T10" s="66" t="s">
        <v>77</v>
      </c>
      <c r="U10" s="66" t="s">
        <v>53</v>
      </c>
      <c r="V10" s="67">
        <v>0</v>
      </c>
      <c r="W10" s="67" t="s">
        <v>52</v>
      </c>
      <c r="X10" s="68">
        <v>41841.594490740739</v>
      </c>
      <c r="Y10" s="68">
        <v>41841.601377314815</v>
      </c>
      <c r="Z10" s="67">
        <v>0</v>
      </c>
      <c r="AA10" s="67">
        <f>IFERROR(IF(OR(C10&lt;&gt;C9,ABS(TEXT(Tabla_ss2p_pedidos[[#This Row],[fecha_solicitud]],"d")-TEXT(Tabla_ss2p_pedidos[[#This Row],[fecha_solicitud]],"d"))&gt;=1),1,AA9+1),1)</f>
        <v>9</v>
      </c>
      <c r="AB1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911201420421072014</v>
      </c>
    </row>
    <row r="11" spans="1:28" s="21" customFormat="1" x14ac:dyDescent="0.25">
      <c r="A11" s="21">
        <v>4068</v>
      </c>
      <c r="B11" s="21">
        <v>477683</v>
      </c>
      <c r="C11" s="21">
        <v>204</v>
      </c>
      <c r="D11" s="21">
        <v>17</v>
      </c>
      <c r="E11" s="21">
        <v>11</v>
      </c>
      <c r="F11" s="21">
        <v>2014</v>
      </c>
      <c r="G11" s="21" t="s">
        <v>211</v>
      </c>
      <c r="H11" s="21" t="s">
        <v>212</v>
      </c>
      <c r="I11" s="21" t="s">
        <v>52</v>
      </c>
      <c r="J11" s="21" t="s">
        <v>213</v>
      </c>
      <c r="K11" s="21">
        <v>16</v>
      </c>
      <c r="L11" s="21">
        <v>66.010000000000005</v>
      </c>
      <c r="M11" s="21" t="s">
        <v>56</v>
      </c>
      <c r="N11" s="21">
        <v>0</v>
      </c>
      <c r="O11" s="21">
        <v>1</v>
      </c>
      <c r="P11" s="21">
        <v>0</v>
      </c>
      <c r="Q11" s="21" t="s">
        <v>52</v>
      </c>
      <c r="R11" s="66">
        <v>41835.334791666668</v>
      </c>
      <c r="S11" s="66" t="s">
        <v>76</v>
      </c>
      <c r="T11" s="66" t="s">
        <v>77</v>
      </c>
      <c r="U11" s="66" t="s">
        <v>53</v>
      </c>
      <c r="V11" s="67">
        <v>0</v>
      </c>
      <c r="W11" s="67" t="s">
        <v>52</v>
      </c>
      <c r="X11" s="68">
        <v>41841.595219907409</v>
      </c>
      <c r="Y11" s="68">
        <v>41841.602060185185</v>
      </c>
      <c r="Z11" s="67">
        <v>0</v>
      </c>
      <c r="AA11" s="67">
        <f>IFERROR(IF(OR(C11&lt;&gt;C10,ABS(TEXT(Tabla_ss2p_pedidos[[#This Row],[fecha_solicitud]],"d")-TEXT(Tabla_ss2p_pedidos[[#This Row],[fecha_solicitud]],"d"))&gt;=1),1,AA10+1),1)</f>
        <v>10</v>
      </c>
      <c r="AB1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1011201420421072014</v>
      </c>
    </row>
    <row r="12" spans="1:28" s="21" customFormat="1" x14ac:dyDescent="0.25">
      <c r="A12" s="21">
        <v>4042</v>
      </c>
      <c r="B12" s="21">
        <v>460798</v>
      </c>
      <c r="C12" s="21">
        <v>204</v>
      </c>
      <c r="D12" s="21">
        <v>13</v>
      </c>
      <c r="E12" s="21">
        <v>11</v>
      </c>
      <c r="F12" s="21">
        <v>2014</v>
      </c>
      <c r="G12" s="21" t="s">
        <v>214</v>
      </c>
      <c r="H12" s="21" t="s">
        <v>215</v>
      </c>
      <c r="I12" s="21" t="s">
        <v>216</v>
      </c>
      <c r="J12" s="21" t="s">
        <v>217</v>
      </c>
      <c r="K12" s="21">
        <v>18</v>
      </c>
      <c r="L12" s="21">
        <v>72.53</v>
      </c>
      <c r="M12" s="21" t="s">
        <v>134</v>
      </c>
      <c r="N12" s="21">
        <v>0</v>
      </c>
      <c r="O12" s="21">
        <v>1</v>
      </c>
      <c r="P12" s="21">
        <v>0</v>
      </c>
      <c r="Q12" s="21" t="s">
        <v>52</v>
      </c>
      <c r="R12" s="66">
        <v>41835.334780092591</v>
      </c>
      <c r="S12" s="66" t="s">
        <v>218</v>
      </c>
      <c r="T12" s="66" t="s">
        <v>189</v>
      </c>
      <c r="U12" s="66" t="s">
        <v>53</v>
      </c>
      <c r="V12" s="67">
        <v>0</v>
      </c>
      <c r="W12" s="67" t="s">
        <v>52</v>
      </c>
      <c r="X12" s="68">
        <v>41841.655381944445</v>
      </c>
      <c r="Y12" s="68">
        <v>41841.656053240738</v>
      </c>
      <c r="Z12" s="67">
        <v>0</v>
      </c>
      <c r="AA12" s="67">
        <f>IFERROR(IF(OR(C12&lt;&gt;C11,ABS(TEXT(Tabla_ss2p_pedidos[[#This Row],[fecha_solicitud]],"d")-TEXT(Tabla_ss2p_pedidos[[#This Row],[fecha_solicitud]],"d"))&gt;=1),1,AA11+1),1)</f>
        <v>11</v>
      </c>
      <c r="AB1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1111201420421072014</v>
      </c>
    </row>
    <row r="13" spans="1:28" s="21" customFormat="1" x14ac:dyDescent="0.25">
      <c r="A13" s="21">
        <v>4067</v>
      </c>
      <c r="B13" s="21">
        <v>506230</v>
      </c>
      <c r="C13" s="21">
        <v>204</v>
      </c>
      <c r="D13" s="21">
        <v>17</v>
      </c>
      <c r="E13" s="21">
        <v>11</v>
      </c>
      <c r="F13" s="21">
        <v>2014</v>
      </c>
      <c r="G13" s="21" t="s">
        <v>219</v>
      </c>
      <c r="H13" s="21" t="s">
        <v>220</v>
      </c>
      <c r="I13" s="21" t="s">
        <v>221</v>
      </c>
      <c r="J13" s="21" t="s">
        <v>221</v>
      </c>
      <c r="K13" s="21">
        <v>2</v>
      </c>
      <c r="L13" s="21">
        <v>76.66</v>
      </c>
      <c r="M13" s="21" t="s">
        <v>56</v>
      </c>
      <c r="N13" s="21">
        <v>0</v>
      </c>
      <c r="O13" s="21">
        <v>1</v>
      </c>
      <c r="P13" s="21">
        <v>0</v>
      </c>
      <c r="Q13" s="21" t="s">
        <v>52</v>
      </c>
      <c r="R13" s="66">
        <v>41835.334791666668</v>
      </c>
      <c r="S13" s="66" t="s">
        <v>222</v>
      </c>
      <c r="T13" s="66" t="s">
        <v>77</v>
      </c>
      <c r="U13" s="66" t="s">
        <v>53</v>
      </c>
      <c r="V13" s="67">
        <v>0</v>
      </c>
      <c r="W13" s="67" t="s">
        <v>52</v>
      </c>
      <c r="X13" s="68">
        <v>41841.669062499997</v>
      </c>
      <c r="Y13" s="68">
        <v>41841.670069444444</v>
      </c>
      <c r="Z13" s="67">
        <v>0</v>
      </c>
      <c r="AA13" s="67">
        <f>IFERROR(IF(OR(C13&lt;&gt;C12,ABS(TEXT(Tabla_ss2p_pedidos[[#This Row],[fecha_solicitud]],"d")-TEXT(Tabla_ss2p_pedidos[[#This Row],[fecha_solicitud]],"d"))&gt;=1),1,AA12+1),1)</f>
        <v>12</v>
      </c>
      <c r="AB1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1211201420421072014</v>
      </c>
    </row>
    <row r="14" spans="1:28" x14ac:dyDescent="0.25">
      <c r="A14" s="21">
        <v>3997</v>
      </c>
      <c r="B14" s="21">
        <v>485127</v>
      </c>
      <c r="C14" s="21">
        <v>204</v>
      </c>
      <c r="D14" s="21">
        <v>6</v>
      </c>
      <c r="E14" s="21">
        <v>11</v>
      </c>
      <c r="F14" s="21">
        <v>2014</v>
      </c>
      <c r="G14" s="21" t="s">
        <v>228</v>
      </c>
      <c r="H14" s="21" t="s">
        <v>229</v>
      </c>
      <c r="I14" s="21" t="s">
        <v>230</v>
      </c>
      <c r="J14" s="21" t="s">
        <v>230</v>
      </c>
      <c r="K14" s="21">
        <v>11</v>
      </c>
      <c r="L14" s="21">
        <v>38.520000000000003</v>
      </c>
      <c r="M14" s="21" t="s">
        <v>56</v>
      </c>
      <c r="N14" s="21">
        <v>0</v>
      </c>
      <c r="O14" s="21">
        <v>1</v>
      </c>
      <c r="P14" s="21">
        <v>0</v>
      </c>
      <c r="Q14" s="21" t="s">
        <v>52</v>
      </c>
      <c r="R14" s="66">
        <v>41835.334768518522</v>
      </c>
      <c r="S14" s="66" t="s">
        <v>59</v>
      </c>
      <c r="T14" s="66" t="s">
        <v>189</v>
      </c>
      <c r="U14" s="66" t="s">
        <v>53</v>
      </c>
      <c r="V14" s="67">
        <v>0</v>
      </c>
      <c r="W14" s="67" t="s">
        <v>52</v>
      </c>
      <c r="X14" s="68">
        <v>41841.691793981481</v>
      </c>
      <c r="Y14" s="68">
        <v>41841.701828703706</v>
      </c>
      <c r="Z14" s="67">
        <v>0</v>
      </c>
      <c r="AA14" s="67">
        <f>IFERROR(IF(OR(C14&lt;&gt;C13,ABS(TEXT(Tabla_ss2p_pedidos[[#This Row],[fecha_solicitud]],"d")-TEXT(Tabla_ss2p_pedidos[[#This Row],[fecha_solicitud]],"d"))&gt;=1),1,AA13+1),1)</f>
        <v>13</v>
      </c>
      <c r="AB1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1311201420421072014</v>
      </c>
    </row>
    <row r="15" spans="1:28" x14ac:dyDescent="0.25">
      <c r="A15" s="21">
        <v>3983</v>
      </c>
      <c r="B15" s="21">
        <v>497533</v>
      </c>
      <c r="C15" s="21">
        <v>204</v>
      </c>
      <c r="D15" s="21">
        <v>3</v>
      </c>
      <c r="E15" s="21">
        <v>11</v>
      </c>
      <c r="F15" s="21">
        <v>2014</v>
      </c>
      <c r="G15" s="21" t="s">
        <v>225</v>
      </c>
      <c r="H15" s="21" t="s">
        <v>226</v>
      </c>
      <c r="I15" s="21" t="s">
        <v>227</v>
      </c>
      <c r="J15" s="21" t="s">
        <v>227</v>
      </c>
      <c r="K15" s="21">
        <v>8</v>
      </c>
      <c r="L15" s="21">
        <v>79.3</v>
      </c>
      <c r="M15" s="21" t="s">
        <v>54</v>
      </c>
      <c r="N15" s="21">
        <v>0</v>
      </c>
      <c r="O15" s="21">
        <v>2</v>
      </c>
      <c r="P15" s="21">
        <v>0</v>
      </c>
      <c r="Q15" s="21" t="s">
        <v>52</v>
      </c>
      <c r="R15" s="66">
        <v>41835.334768518522</v>
      </c>
      <c r="S15" s="66" t="s">
        <v>59</v>
      </c>
      <c r="T15" s="66" t="s">
        <v>77</v>
      </c>
      <c r="U15" s="66" t="s">
        <v>53</v>
      </c>
      <c r="V15" s="67">
        <v>0</v>
      </c>
      <c r="W15" s="67" t="s">
        <v>52</v>
      </c>
      <c r="X15" s="68">
        <v>41841.69195601852</v>
      </c>
      <c r="Y15" s="68">
        <v>41841.701793981483</v>
      </c>
      <c r="Z15" s="67">
        <v>0</v>
      </c>
      <c r="AA15" s="67">
        <f>IFERROR(IF(OR(C15&lt;&gt;C14,ABS(TEXT(Tabla_ss2p_pedidos[[#This Row],[fecha_solicitud]],"d")-TEXT(Tabla_ss2p_pedidos[[#This Row],[fecha_solicitud]],"d"))&gt;=1),1,AA14+1),1)</f>
        <v>14</v>
      </c>
      <c r="AB1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1411201420421072014</v>
      </c>
    </row>
    <row r="16" spans="1:28" x14ac:dyDescent="0.25">
      <c r="A16" s="21">
        <v>3996</v>
      </c>
      <c r="B16" s="21">
        <v>494921</v>
      </c>
      <c r="C16" s="21">
        <v>204</v>
      </c>
      <c r="D16" s="21">
        <v>6</v>
      </c>
      <c r="E16" s="21">
        <v>11</v>
      </c>
      <c r="F16" s="21">
        <v>2014</v>
      </c>
      <c r="G16" s="21" t="s">
        <v>223</v>
      </c>
      <c r="H16" s="21" t="s">
        <v>224</v>
      </c>
      <c r="I16" s="21" t="s">
        <v>52</v>
      </c>
      <c r="J16" s="21" t="s">
        <v>52</v>
      </c>
      <c r="K16" s="21">
        <v>9</v>
      </c>
      <c r="L16" s="21">
        <v>52.3</v>
      </c>
      <c r="M16" s="21" t="s">
        <v>134</v>
      </c>
      <c r="N16" s="21">
        <v>0</v>
      </c>
      <c r="O16" s="21">
        <v>1</v>
      </c>
      <c r="P16" s="21">
        <v>0</v>
      </c>
      <c r="Q16" s="21" t="s">
        <v>52</v>
      </c>
      <c r="R16" s="66">
        <v>41835.334768518522</v>
      </c>
      <c r="S16" s="66" t="s">
        <v>59</v>
      </c>
      <c r="T16" s="66" t="s">
        <v>189</v>
      </c>
      <c r="U16" s="66" t="s">
        <v>53</v>
      </c>
      <c r="V16" s="67">
        <v>0</v>
      </c>
      <c r="W16" s="67" t="s">
        <v>52</v>
      </c>
      <c r="X16" s="68">
        <v>41841.692141203705</v>
      </c>
      <c r="Y16" s="68">
        <v>41841.70175925926</v>
      </c>
      <c r="Z16" s="67">
        <v>0</v>
      </c>
      <c r="AA16" s="67">
        <f>IFERROR(IF(OR(C16&lt;&gt;C15,ABS(TEXT(Tabla_ss2p_pedidos[[#This Row],[fecha_solicitud]],"d")-TEXT(Tabla_ss2p_pedidos[[#This Row],[fecha_solicitud]],"d"))&gt;=1),1,AA15+1),1)</f>
        <v>15</v>
      </c>
      <c r="AB1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1511201420421072014</v>
      </c>
    </row>
    <row r="17" spans="1:28" x14ac:dyDescent="0.25">
      <c r="A17" s="21">
        <v>5321</v>
      </c>
      <c r="B17" s="21">
        <v>479772</v>
      </c>
      <c r="C17" s="21">
        <v>211</v>
      </c>
      <c r="D17" s="21">
        <v>15</v>
      </c>
      <c r="E17" s="21">
        <v>11</v>
      </c>
      <c r="F17" s="21">
        <v>2014</v>
      </c>
      <c r="G17" s="21" t="s">
        <v>235</v>
      </c>
      <c r="H17" s="21" t="s">
        <v>52</v>
      </c>
      <c r="I17" s="21" t="s">
        <v>52</v>
      </c>
      <c r="J17" s="21" t="s">
        <v>52</v>
      </c>
      <c r="K17" s="21">
        <v>16</v>
      </c>
      <c r="L17" s="21">
        <v>66.23</v>
      </c>
      <c r="M17" s="21" t="s">
        <v>52</v>
      </c>
      <c r="N17" s="21">
        <v>0</v>
      </c>
      <c r="O17" s="21">
        <v>1</v>
      </c>
      <c r="P17" s="21">
        <v>0</v>
      </c>
      <c r="Q17" s="21" t="s">
        <v>52</v>
      </c>
      <c r="R17" s="66">
        <v>41838.444560185184</v>
      </c>
      <c r="S17" s="66" t="s">
        <v>59</v>
      </c>
      <c r="T17" s="66" t="s">
        <v>232</v>
      </c>
      <c r="U17" s="66" t="s">
        <v>53</v>
      </c>
      <c r="V17" s="67">
        <v>0</v>
      </c>
      <c r="W17" s="67" t="s">
        <v>52</v>
      </c>
      <c r="X17" s="68">
        <v>41841.643148148149</v>
      </c>
      <c r="Y17" s="68">
        <v>41841.645891203705</v>
      </c>
      <c r="Z17" s="67">
        <v>0</v>
      </c>
      <c r="AA17" s="67">
        <f>IFERROR(IF(OR(C17&lt;&gt;C16,ABS(TEXT(Tabla_ss2p_pedidos[[#This Row],[fecha_solicitud]],"d")-TEXT(Tabla_ss2p_pedidos[[#This Row],[fecha_solicitud]],"d"))&gt;=1),1,AA16+1),1)</f>
        <v>1</v>
      </c>
      <c r="AB1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111201421121072014</v>
      </c>
    </row>
    <row r="18" spans="1:28" x14ac:dyDescent="0.25">
      <c r="A18" s="21">
        <v>5310</v>
      </c>
      <c r="B18" s="21">
        <v>11641</v>
      </c>
      <c r="C18" s="21">
        <v>211</v>
      </c>
      <c r="D18" s="21">
        <v>4</v>
      </c>
      <c r="E18" s="21">
        <v>11</v>
      </c>
      <c r="F18" s="21">
        <v>2014</v>
      </c>
      <c r="G18" s="21" t="s">
        <v>234</v>
      </c>
      <c r="H18" s="21" t="s">
        <v>52</v>
      </c>
      <c r="I18" s="21" t="s">
        <v>52</v>
      </c>
      <c r="J18" s="21" t="s">
        <v>52</v>
      </c>
      <c r="K18" s="21">
        <v>160</v>
      </c>
      <c r="L18" s="21">
        <v>55.59</v>
      </c>
      <c r="M18" s="21" t="s">
        <v>52</v>
      </c>
      <c r="N18" s="21">
        <v>0</v>
      </c>
      <c r="O18" s="21">
        <v>1</v>
      </c>
      <c r="P18" s="21">
        <v>0</v>
      </c>
      <c r="Q18" s="21" t="s">
        <v>52</v>
      </c>
      <c r="R18" s="66">
        <v>41838.444560185184</v>
      </c>
      <c r="S18" s="66" t="s">
        <v>59</v>
      </c>
      <c r="T18" s="66" t="s">
        <v>232</v>
      </c>
      <c r="U18" s="66" t="s">
        <v>53</v>
      </c>
      <c r="V18" s="67">
        <v>0</v>
      </c>
      <c r="W18" s="67" t="s">
        <v>52</v>
      </c>
      <c r="X18" s="68">
        <v>41841.643275462964</v>
      </c>
      <c r="Y18" s="68">
        <v>41841.645810185182</v>
      </c>
      <c r="Z18" s="67">
        <v>0</v>
      </c>
      <c r="AA18" s="67">
        <f>IFERROR(IF(OR(C18&lt;&gt;C17,ABS(TEXT(Tabla_ss2p_pedidos[[#This Row],[fecha_solicitud]],"d")-TEXT(Tabla_ss2p_pedidos[[#This Row],[fecha_solicitud]],"d"))&gt;=1),1,AA17+1),1)</f>
        <v>2</v>
      </c>
      <c r="AB1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211201421121072014</v>
      </c>
    </row>
    <row r="19" spans="1:28" x14ac:dyDescent="0.25">
      <c r="A19" s="21">
        <v>5317</v>
      </c>
      <c r="B19" s="21">
        <v>495957</v>
      </c>
      <c r="C19" s="21">
        <v>211</v>
      </c>
      <c r="D19" s="21">
        <v>9</v>
      </c>
      <c r="E19" s="21">
        <v>11</v>
      </c>
      <c r="F19" s="21">
        <v>2014</v>
      </c>
      <c r="G19" s="21" t="s">
        <v>233</v>
      </c>
      <c r="H19" s="21" t="s">
        <v>52</v>
      </c>
      <c r="I19" s="21" t="s">
        <v>52</v>
      </c>
      <c r="J19" s="21" t="s">
        <v>52</v>
      </c>
      <c r="K19" s="21">
        <v>7</v>
      </c>
      <c r="L19" s="21">
        <v>80.010000000000005</v>
      </c>
      <c r="M19" s="21" t="s">
        <v>52</v>
      </c>
      <c r="N19" s="21">
        <v>0</v>
      </c>
      <c r="O19" s="21">
        <v>1</v>
      </c>
      <c r="P19" s="21">
        <v>0</v>
      </c>
      <c r="Q19" s="21" t="s">
        <v>52</v>
      </c>
      <c r="R19" s="66">
        <v>41838.444560185184</v>
      </c>
      <c r="S19" s="66" t="s">
        <v>59</v>
      </c>
      <c r="T19" s="66" t="s">
        <v>232</v>
      </c>
      <c r="U19" s="66" t="s">
        <v>53</v>
      </c>
      <c r="V19" s="67">
        <v>0</v>
      </c>
      <c r="W19" s="67" t="s">
        <v>52</v>
      </c>
      <c r="X19" s="68">
        <v>41841.643379629626</v>
      </c>
      <c r="Y19" s="68">
        <v>41841.64576388889</v>
      </c>
      <c r="Z19" s="67">
        <v>0</v>
      </c>
      <c r="AA19" s="67">
        <f>IFERROR(IF(OR(C19&lt;&gt;C18,ABS(TEXT(Tabla_ss2p_pedidos[[#This Row],[fecha_solicitud]],"d")-TEXT(Tabla_ss2p_pedidos[[#This Row],[fecha_solicitud]],"d"))&gt;=1),1,AA18+1),1)</f>
        <v>3</v>
      </c>
      <c r="AB1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311201421121072014</v>
      </c>
    </row>
    <row r="20" spans="1:28" x14ac:dyDescent="0.25">
      <c r="A20" s="21">
        <v>5323</v>
      </c>
      <c r="B20" s="21">
        <v>306441</v>
      </c>
      <c r="C20" s="21">
        <v>211</v>
      </c>
      <c r="D20" s="21">
        <v>16</v>
      </c>
      <c r="E20" s="21">
        <v>11</v>
      </c>
      <c r="F20" s="21">
        <v>2014</v>
      </c>
      <c r="G20" s="21" t="s">
        <v>231</v>
      </c>
      <c r="H20" s="21" t="s">
        <v>52</v>
      </c>
      <c r="I20" s="21" t="s">
        <v>52</v>
      </c>
      <c r="J20" s="21" t="s">
        <v>52</v>
      </c>
      <c r="K20" s="21">
        <v>103</v>
      </c>
      <c r="L20" s="21">
        <v>56.38</v>
      </c>
      <c r="M20" s="21" t="s">
        <v>52</v>
      </c>
      <c r="N20" s="21">
        <v>0</v>
      </c>
      <c r="O20" s="21">
        <v>1</v>
      </c>
      <c r="P20" s="21">
        <v>0</v>
      </c>
      <c r="Q20" s="21" t="s">
        <v>52</v>
      </c>
      <c r="R20" s="66">
        <v>41838.444571759261</v>
      </c>
      <c r="S20" s="66" t="s">
        <v>59</v>
      </c>
      <c r="T20" s="66" t="s">
        <v>232</v>
      </c>
      <c r="U20" s="66" t="s">
        <v>53</v>
      </c>
      <c r="V20" s="67">
        <v>0</v>
      </c>
      <c r="W20" s="67" t="s">
        <v>52</v>
      </c>
      <c r="X20" s="68">
        <v>41841.643518518518</v>
      </c>
      <c r="Y20" s="68">
        <v>41841.64565972222</v>
      </c>
      <c r="Z20" s="67">
        <v>0</v>
      </c>
      <c r="AA20" s="67">
        <f>IFERROR(IF(OR(C20&lt;&gt;C19,ABS(TEXT(Tabla_ss2p_pedidos[[#This Row],[fecha_solicitud]],"d")-TEXT(Tabla_ss2p_pedidos[[#This Row],[fecha_solicitud]],"d"))&gt;=1),1,AA19+1),1)</f>
        <v>4</v>
      </c>
      <c r="AB2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411201421121072014</v>
      </c>
    </row>
    <row r="21" spans="1:28" x14ac:dyDescent="0.25">
      <c r="A21" s="21">
        <v>5311</v>
      </c>
      <c r="B21" s="21">
        <v>29935</v>
      </c>
      <c r="C21" s="21">
        <v>211</v>
      </c>
      <c r="D21" s="21">
        <v>7</v>
      </c>
      <c r="E21" s="21">
        <v>11</v>
      </c>
      <c r="F21" s="21">
        <v>2014</v>
      </c>
      <c r="G21" s="21" t="s">
        <v>236</v>
      </c>
      <c r="H21" s="21" t="s">
        <v>52</v>
      </c>
      <c r="I21" s="21" t="s">
        <v>52</v>
      </c>
      <c r="J21" s="21" t="s">
        <v>52</v>
      </c>
      <c r="K21" s="21">
        <v>219</v>
      </c>
      <c r="L21" s="21">
        <v>77.53</v>
      </c>
      <c r="M21" s="21" t="s">
        <v>52</v>
      </c>
      <c r="N21" s="21">
        <v>0</v>
      </c>
      <c r="O21" s="21">
        <v>1</v>
      </c>
      <c r="P21" s="21">
        <v>0</v>
      </c>
      <c r="Q21" s="21" t="s">
        <v>52</v>
      </c>
      <c r="R21" s="66">
        <v>41838.444560185184</v>
      </c>
      <c r="S21" s="66" t="s">
        <v>59</v>
      </c>
      <c r="T21" s="66" t="s">
        <v>232</v>
      </c>
      <c r="U21" s="66" t="s">
        <v>53</v>
      </c>
      <c r="V21" s="67">
        <v>0</v>
      </c>
      <c r="W21" s="67" t="s">
        <v>52</v>
      </c>
      <c r="X21" s="68">
        <v>41841.643622685187</v>
      </c>
      <c r="Y21" s="68">
        <v>41841.645937499998</v>
      </c>
      <c r="Z21" s="67">
        <v>0</v>
      </c>
      <c r="AA21" s="67">
        <f>IFERROR(IF(OR(C21&lt;&gt;C20,ABS(TEXT(Tabla_ss2p_pedidos[[#This Row],[fecha_solicitud]],"d")-TEXT(Tabla_ss2p_pedidos[[#This Row],[fecha_solicitud]],"d"))&gt;=1),1,AA20+1),1)</f>
        <v>5</v>
      </c>
      <c r="AB2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511201421121072014</v>
      </c>
    </row>
    <row r="22" spans="1:28" x14ac:dyDescent="0.25">
      <c r="A22" s="21">
        <v>5318</v>
      </c>
      <c r="B22" s="21">
        <v>419525</v>
      </c>
      <c r="C22" s="21">
        <v>211</v>
      </c>
      <c r="D22" s="21">
        <v>9</v>
      </c>
      <c r="E22" s="21">
        <v>11</v>
      </c>
      <c r="F22" s="21">
        <v>2014</v>
      </c>
      <c r="G22" s="21" t="s">
        <v>238</v>
      </c>
      <c r="H22" s="21" t="s">
        <v>52</v>
      </c>
      <c r="I22" s="21" t="s">
        <v>52</v>
      </c>
      <c r="J22" s="21" t="s">
        <v>52</v>
      </c>
      <c r="K22" s="21">
        <v>46</v>
      </c>
      <c r="L22" s="21">
        <v>45.73</v>
      </c>
      <c r="M22" s="21" t="s">
        <v>52</v>
      </c>
      <c r="N22" s="21">
        <v>0</v>
      </c>
      <c r="O22" s="21">
        <v>2</v>
      </c>
      <c r="P22" s="21">
        <v>0</v>
      </c>
      <c r="Q22" s="21" t="s">
        <v>52</v>
      </c>
      <c r="R22" s="66">
        <v>41838.444560185184</v>
      </c>
      <c r="S22" s="66" t="s">
        <v>59</v>
      </c>
      <c r="T22" s="66" t="s">
        <v>232</v>
      </c>
      <c r="U22" s="66" t="s">
        <v>53</v>
      </c>
      <c r="V22" s="67">
        <v>0</v>
      </c>
      <c r="W22" s="67" t="s">
        <v>52</v>
      </c>
      <c r="X22" s="68">
        <v>41841.643726851849</v>
      </c>
      <c r="Y22" s="68">
        <v>41841.646643518521</v>
      </c>
      <c r="Z22" s="67">
        <v>0</v>
      </c>
      <c r="AA22" s="67">
        <f>IFERROR(IF(OR(C22&lt;&gt;C21,ABS(TEXT(Tabla_ss2p_pedidos[[#This Row],[fecha_solicitud]],"d")-TEXT(Tabla_ss2p_pedidos[[#This Row],[fecha_solicitud]],"d"))&gt;=1),1,AA21+1),1)</f>
        <v>6</v>
      </c>
      <c r="AB2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611201421121072014</v>
      </c>
    </row>
    <row r="23" spans="1:28" x14ac:dyDescent="0.25">
      <c r="A23" s="21">
        <v>5322</v>
      </c>
      <c r="B23" s="21">
        <v>432266</v>
      </c>
      <c r="C23" s="21">
        <v>211</v>
      </c>
      <c r="D23" s="21">
        <v>16</v>
      </c>
      <c r="E23" s="21">
        <v>11</v>
      </c>
      <c r="F23" s="21">
        <v>2014</v>
      </c>
      <c r="G23" s="21" t="s">
        <v>237</v>
      </c>
      <c r="H23" s="21" t="s">
        <v>52</v>
      </c>
      <c r="I23" s="21" t="s">
        <v>52</v>
      </c>
      <c r="J23" s="21" t="s">
        <v>52</v>
      </c>
      <c r="K23" s="21">
        <v>40</v>
      </c>
      <c r="L23" s="21">
        <v>68.430000000000007</v>
      </c>
      <c r="M23" s="21" t="s">
        <v>52</v>
      </c>
      <c r="N23" s="21">
        <v>0</v>
      </c>
      <c r="O23" s="21">
        <v>2</v>
      </c>
      <c r="P23" s="21">
        <v>0</v>
      </c>
      <c r="Q23" s="21" t="s">
        <v>52</v>
      </c>
      <c r="R23" s="66">
        <v>41838.444560185184</v>
      </c>
      <c r="S23" s="66" t="s">
        <v>59</v>
      </c>
      <c r="T23" s="66" t="s">
        <v>232</v>
      </c>
      <c r="U23" s="66" t="s">
        <v>53</v>
      </c>
      <c r="V23" s="67">
        <v>0</v>
      </c>
      <c r="W23" s="67" t="s">
        <v>52</v>
      </c>
      <c r="X23" s="68">
        <v>41841.643854166665</v>
      </c>
      <c r="Y23" s="68">
        <v>41841.646597222221</v>
      </c>
      <c r="Z23" s="67">
        <v>0</v>
      </c>
      <c r="AA23" s="67">
        <f>IFERROR(IF(OR(C23&lt;&gt;C22,ABS(TEXT(Tabla_ss2p_pedidos[[#This Row],[fecha_solicitud]],"d")-TEXT(Tabla_ss2p_pedidos[[#This Row],[fecha_solicitud]],"d"))&gt;=1),1,AA22+1),1)</f>
        <v>7</v>
      </c>
      <c r="AB2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711201421121072014</v>
      </c>
    </row>
    <row r="24" spans="1:28" x14ac:dyDescent="0.25">
      <c r="A24" s="21">
        <v>5309</v>
      </c>
      <c r="B24" s="21">
        <v>501347</v>
      </c>
      <c r="C24" s="21">
        <v>211</v>
      </c>
      <c r="D24" s="21">
        <v>4</v>
      </c>
      <c r="E24" s="21">
        <v>11</v>
      </c>
      <c r="F24" s="21">
        <v>2014</v>
      </c>
      <c r="G24" s="21" t="s">
        <v>239</v>
      </c>
      <c r="H24" s="21" t="s">
        <v>52</v>
      </c>
      <c r="I24" s="21" t="s">
        <v>52</v>
      </c>
      <c r="J24" s="21" t="s">
        <v>52</v>
      </c>
      <c r="K24" s="21">
        <v>4</v>
      </c>
      <c r="L24" s="21">
        <v>44.63</v>
      </c>
      <c r="M24" s="21" t="s">
        <v>52</v>
      </c>
      <c r="N24" s="21">
        <v>0</v>
      </c>
      <c r="O24" s="21">
        <v>1</v>
      </c>
      <c r="P24" s="21">
        <v>0</v>
      </c>
      <c r="Q24" s="21" t="s">
        <v>52</v>
      </c>
      <c r="R24" s="66">
        <v>41838.444548611114</v>
      </c>
      <c r="S24" s="66" t="s">
        <v>59</v>
      </c>
      <c r="T24" s="66" t="s">
        <v>232</v>
      </c>
      <c r="U24" s="66" t="s">
        <v>53</v>
      </c>
      <c r="V24" s="67">
        <v>0</v>
      </c>
      <c r="W24" s="67" t="s">
        <v>52</v>
      </c>
      <c r="X24" s="68">
        <v>41841.644004629627</v>
      </c>
      <c r="Y24" s="68">
        <v>41841.646689814814</v>
      </c>
      <c r="Z24" s="67">
        <v>0</v>
      </c>
      <c r="AA24" s="67">
        <f>IFERROR(IF(OR(C24&lt;&gt;C23,ABS(TEXT(Tabla_ss2p_pedidos[[#This Row],[fecha_solicitud]],"d")-TEXT(Tabla_ss2p_pedidos[[#This Row],[fecha_solicitud]],"d"))&gt;=1),1,AA23+1),1)</f>
        <v>8</v>
      </c>
      <c r="AB2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811201421121072014</v>
      </c>
    </row>
    <row r="25" spans="1:28" x14ac:dyDescent="0.25">
      <c r="A25" s="21">
        <v>5259</v>
      </c>
      <c r="B25" s="21">
        <v>426983</v>
      </c>
      <c r="C25" s="21">
        <v>211</v>
      </c>
      <c r="D25" s="21">
        <v>6</v>
      </c>
      <c r="E25" s="21">
        <v>11</v>
      </c>
      <c r="F25" s="21">
        <v>2014</v>
      </c>
      <c r="G25" s="21" t="s">
        <v>256</v>
      </c>
      <c r="H25" s="21" t="s">
        <v>257</v>
      </c>
      <c r="I25" s="21" t="s">
        <v>258</v>
      </c>
      <c r="J25" s="21" t="s">
        <v>258</v>
      </c>
      <c r="K25" s="21">
        <v>44</v>
      </c>
      <c r="L25" s="21">
        <v>101.18</v>
      </c>
      <c r="M25" s="21" t="s">
        <v>56</v>
      </c>
      <c r="N25" s="21">
        <v>0</v>
      </c>
      <c r="O25" s="21">
        <v>1</v>
      </c>
      <c r="P25" s="21">
        <v>0</v>
      </c>
      <c r="Q25" s="21" t="s">
        <v>52</v>
      </c>
      <c r="R25" s="66">
        <v>41838.441620370373</v>
      </c>
      <c r="S25" s="66" t="s">
        <v>59</v>
      </c>
      <c r="T25" s="66" t="s">
        <v>232</v>
      </c>
      <c r="U25" s="66" t="s">
        <v>53</v>
      </c>
      <c r="V25" s="67">
        <v>0</v>
      </c>
      <c r="W25" s="67" t="s">
        <v>52</v>
      </c>
      <c r="X25" s="68">
        <v>41841.649733796294</v>
      </c>
      <c r="Y25" s="68">
        <v>41841.651898148149</v>
      </c>
      <c r="Z25" s="67">
        <v>0</v>
      </c>
      <c r="AA25" s="67">
        <f>IFERROR(IF(OR(C25&lt;&gt;C24,ABS(TEXT(Tabla_ss2p_pedidos[[#This Row],[fecha_solicitud]],"d")-TEXT(Tabla_ss2p_pedidos[[#This Row],[fecha_solicitud]],"d"))&gt;=1),1,AA24+1),1)</f>
        <v>9</v>
      </c>
      <c r="AB2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911201421121072014</v>
      </c>
    </row>
    <row r="26" spans="1:28" x14ac:dyDescent="0.25">
      <c r="A26" s="21">
        <v>5286</v>
      </c>
      <c r="B26" s="21">
        <v>452057</v>
      </c>
      <c r="C26" s="21">
        <v>211</v>
      </c>
      <c r="D26" s="21">
        <v>12</v>
      </c>
      <c r="E26" s="21">
        <v>11</v>
      </c>
      <c r="F26" s="21">
        <v>2014</v>
      </c>
      <c r="G26" s="21" t="s">
        <v>253</v>
      </c>
      <c r="H26" s="21" t="s">
        <v>254</v>
      </c>
      <c r="I26" s="21" t="s">
        <v>255</v>
      </c>
      <c r="J26" s="21" t="s">
        <v>52</v>
      </c>
      <c r="K26" s="21">
        <v>32</v>
      </c>
      <c r="L26" s="21">
        <v>108.37</v>
      </c>
      <c r="M26" s="21" t="s">
        <v>56</v>
      </c>
      <c r="N26" s="21">
        <v>0</v>
      </c>
      <c r="O26" s="21">
        <v>1</v>
      </c>
      <c r="P26" s="21">
        <v>0</v>
      </c>
      <c r="Q26" s="21" t="s">
        <v>52</v>
      </c>
      <c r="R26" s="66">
        <v>41838.441631944443</v>
      </c>
      <c r="S26" s="66" t="s">
        <v>59</v>
      </c>
      <c r="T26" s="66" t="s">
        <v>232</v>
      </c>
      <c r="U26" s="66" t="s">
        <v>53</v>
      </c>
      <c r="V26" s="67">
        <v>0</v>
      </c>
      <c r="W26" s="67" t="s">
        <v>52</v>
      </c>
      <c r="X26" s="68">
        <v>41841.649837962963</v>
      </c>
      <c r="Y26" s="68">
        <v>41841.651863425926</v>
      </c>
      <c r="Z26" s="67">
        <v>0</v>
      </c>
      <c r="AA26" s="67">
        <f>IFERROR(IF(OR(C26&lt;&gt;C25,ABS(TEXT(Tabla_ss2p_pedidos[[#This Row],[fecha_solicitud]],"d")-TEXT(Tabla_ss2p_pedidos[[#This Row],[fecha_solicitud]],"d"))&gt;=1),1,AA25+1),1)</f>
        <v>10</v>
      </c>
      <c r="AB2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1011201421121072014</v>
      </c>
    </row>
    <row r="27" spans="1:28" x14ac:dyDescent="0.25">
      <c r="A27" s="21">
        <v>5263</v>
      </c>
      <c r="B27" s="21">
        <v>491279</v>
      </c>
      <c r="C27" s="21">
        <v>211</v>
      </c>
      <c r="D27" s="21">
        <v>7</v>
      </c>
      <c r="E27" s="21">
        <v>11</v>
      </c>
      <c r="F27" s="21">
        <v>2014</v>
      </c>
      <c r="G27" s="21" t="s">
        <v>250</v>
      </c>
      <c r="H27" s="21" t="s">
        <v>251</v>
      </c>
      <c r="I27" s="21" t="s">
        <v>252</v>
      </c>
      <c r="J27" s="21" t="s">
        <v>52</v>
      </c>
      <c r="K27" s="21">
        <v>11</v>
      </c>
      <c r="L27" s="21">
        <v>78.930000000000007</v>
      </c>
      <c r="M27" s="21" t="s">
        <v>58</v>
      </c>
      <c r="N27" s="21">
        <v>0</v>
      </c>
      <c r="O27" s="21">
        <v>1</v>
      </c>
      <c r="P27" s="21">
        <v>0</v>
      </c>
      <c r="Q27" s="21" t="s">
        <v>52</v>
      </c>
      <c r="R27" s="66">
        <v>41838.441620370373</v>
      </c>
      <c r="S27" s="66" t="s">
        <v>59</v>
      </c>
      <c r="T27" s="66" t="s">
        <v>232</v>
      </c>
      <c r="U27" s="66" t="s">
        <v>53</v>
      </c>
      <c r="V27" s="67">
        <v>0</v>
      </c>
      <c r="W27" s="67" t="s">
        <v>52</v>
      </c>
      <c r="X27" s="68">
        <v>41841.649976851855</v>
      </c>
      <c r="Y27" s="68">
        <v>41841.651817129627</v>
      </c>
      <c r="Z27" s="67">
        <v>0</v>
      </c>
      <c r="AA27" s="67">
        <f>IFERROR(IF(OR(C27&lt;&gt;C26,ABS(TEXT(Tabla_ss2p_pedidos[[#This Row],[fecha_solicitud]],"d")-TEXT(Tabla_ss2p_pedidos[[#This Row],[fecha_solicitud]],"d"))&gt;=1),1,AA26+1),1)</f>
        <v>11</v>
      </c>
      <c r="AB2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1111201421121072014</v>
      </c>
    </row>
    <row r="28" spans="1:28" x14ac:dyDescent="0.25">
      <c r="A28" s="21">
        <v>5261</v>
      </c>
      <c r="B28" s="21">
        <v>505347</v>
      </c>
      <c r="C28" s="21">
        <v>211</v>
      </c>
      <c r="D28" s="21">
        <v>6</v>
      </c>
      <c r="E28" s="21">
        <v>11</v>
      </c>
      <c r="F28" s="21">
        <v>2014</v>
      </c>
      <c r="G28" s="21" t="s">
        <v>247</v>
      </c>
      <c r="H28" s="21" t="s">
        <v>248</v>
      </c>
      <c r="I28" s="21" t="s">
        <v>249</v>
      </c>
      <c r="J28" s="21" t="s">
        <v>249</v>
      </c>
      <c r="K28" s="21">
        <v>3</v>
      </c>
      <c r="L28" s="21">
        <v>59.61</v>
      </c>
      <c r="M28" s="21" t="s">
        <v>56</v>
      </c>
      <c r="N28" s="21">
        <v>0</v>
      </c>
      <c r="O28" s="21">
        <v>2</v>
      </c>
      <c r="P28" s="21">
        <v>0</v>
      </c>
      <c r="Q28" s="21" t="s">
        <v>52</v>
      </c>
      <c r="R28" s="66">
        <v>41838.441620370373</v>
      </c>
      <c r="S28" s="66" t="s">
        <v>59</v>
      </c>
      <c r="T28" s="66" t="s">
        <v>232</v>
      </c>
      <c r="U28" s="66" t="s">
        <v>53</v>
      </c>
      <c r="V28" s="67">
        <v>0</v>
      </c>
      <c r="W28" s="67" t="s">
        <v>52</v>
      </c>
      <c r="X28" s="68">
        <v>41841.650104166663</v>
      </c>
      <c r="Y28" s="68">
        <v>41841.651782407411</v>
      </c>
      <c r="Z28" s="67">
        <v>0</v>
      </c>
      <c r="AA28" s="67">
        <f>IFERROR(IF(OR(C28&lt;&gt;C27,ABS(TEXT(Tabla_ss2p_pedidos[[#This Row],[fecha_solicitud]],"d")-TEXT(Tabla_ss2p_pedidos[[#This Row],[fecha_solicitud]],"d"))&gt;=1),1,AA27+1),1)</f>
        <v>12</v>
      </c>
      <c r="AB2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1211201421121072014</v>
      </c>
    </row>
    <row r="29" spans="1:28" x14ac:dyDescent="0.25">
      <c r="A29" s="21">
        <v>5255</v>
      </c>
      <c r="B29" s="21">
        <v>495785</v>
      </c>
      <c r="C29" s="21">
        <v>211</v>
      </c>
      <c r="D29" s="21">
        <v>5</v>
      </c>
      <c r="E29" s="21">
        <v>11</v>
      </c>
      <c r="F29" s="21">
        <v>2014</v>
      </c>
      <c r="G29" s="21" t="s">
        <v>243</v>
      </c>
      <c r="H29" s="21" t="s">
        <v>244</v>
      </c>
      <c r="I29" s="21" t="s">
        <v>245</v>
      </c>
      <c r="J29" s="21" t="s">
        <v>246</v>
      </c>
      <c r="K29" s="21">
        <v>9</v>
      </c>
      <c r="L29" s="21">
        <v>34.950000000000003</v>
      </c>
      <c r="M29" s="21" t="s">
        <v>56</v>
      </c>
      <c r="N29" s="21">
        <v>0</v>
      </c>
      <c r="O29" s="21">
        <v>1</v>
      </c>
      <c r="P29" s="21">
        <v>0</v>
      </c>
      <c r="Q29" s="21" t="s">
        <v>52</v>
      </c>
      <c r="R29" s="66">
        <v>41838.441620370373</v>
      </c>
      <c r="S29" s="66" t="s">
        <v>59</v>
      </c>
      <c r="T29" s="66" t="s">
        <v>232</v>
      </c>
      <c r="U29" s="66" t="s">
        <v>53</v>
      </c>
      <c r="V29" s="67">
        <v>0</v>
      </c>
      <c r="W29" s="67" t="s">
        <v>52</v>
      </c>
      <c r="X29" s="68">
        <v>41841.650243055556</v>
      </c>
      <c r="Y29" s="68">
        <v>41841.651747685188</v>
      </c>
      <c r="Z29" s="67">
        <v>0</v>
      </c>
      <c r="AA29" s="67">
        <f>IFERROR(IF(OR(C29&lt;&gt;C28,ABS(TEXT(Tabla_ss2p_pedidos[[#This Row],[fecha_solicitud]],"d")-TEXT(Tabla_ss2p_pedidos[[#This Row],[fecha_solicitud]],"d"))&gt;=1),1,AA28+1),1)</f>
        <v>13</v>
      </c>
      <c r="AB2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1311201421121072014</v>
      </c>
    </row>
    <row r="30" spans="1:28" x14ac:dyDescent="0.25">
      <c r="A30" s="21">
        <v>5252</v>
      </c>
      <c r="B30" s="21">
        <v>313036</v>
      </c>
      <c r="C30" s="21">
        <v>211</v>
      </c>
      <c r="D30" s="21">
        <v>4</v>
      </c>
      <c r="E30" s="21">
        <v>11</v>
      </c>
      <c r="F30" s="21">
        <v>2014</v>
      </c>
      <c r="G30" s="21" t="s">
        <v>240</v>
      </c>
      <c r="H30" s="21" t="s">
        <v>241</v>
      </c>
      <c r="I30" s="21" t="s">
        <v>242</v>
      </c>
      <c r="J30" s="21" t="s">
        <v>52</v>
      </c>
      <c r="K30" s="21">
        <v>34</v>
      </c>
      <c r="L30" s="21">
        <v>140.75</v>
      </c>
      <c r="M30" s="21" t="s">
        <v>56</v>
      </c>
      <c r="N30" s="21">
        <v>0</v>
      </c>
      <c r="O30" s="21">
        <v>2</v>
      </c>
      <c r="P30" s="21">
        <v>0</v>
      </c>
      <c r="Q30" s="21" t="s">
        <v>52</v>
      </c>
      <c r="R30" s="66">
        <v>41838.441620370373</v>
      </c>
      <c r="S30" s="66" t="s">
        <v>59</v>
      </c>
      <c r="T30" s="66" t="s">
        <v>232</v>
      </c>
      <c r="U30" s="66" t="s">
        <v>53</v>
      </c>
      <c r="V30" s="67">
        <v>0</v>
      </c>
      <c r="W30" s="67" t="s">
        <v>52</v>
      </c>
      <c r="X30" s="68">
        <v>41841.650370370371</v>
      </c>
      <c r="Y30" s="68">
        <v>41841.651701388888</v>
      </c>
      <c r="Z30" s="67">
        <v>0</v>
      </c>
      <c r="AA30" s="67">
        <f>IFERROR(IF(OR(C30&lt;&gt;C29,ABS(TEXT(Tabla_ss2p_pedidos[[#This Row],[fecha_solicitud]],"d")-TEXT(Tabla_ss2p_pedidos[[#This Row],[fecha_solicitud]],"d"))&gt;=1),1,AA29+1),1)</f>
        <v>14</v>
      </c>
      <c r="AB3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1411201421121072014</v>
      </c>
    </row>
    <row r="31" spans="1:28" x14ac:dyDescent="0.25">
      <c r="A31" s="21">
        <v>5316</v>
      </c>
      <c r="B31" s="21">
        <v>480112</v>
      </c>
      <c r="C31" s="21">
        <v>211</v>
      </c>
      <c r="D31" s="21">
        <v>9</v>
      </c>
      <c r="E31" s="21">
        <v>11</v>
      </c>
      <c r="F31" s="21">
        <v>2014</v>
      </c>
      <c r="G31" s="21" t="s">
        <v>259</v>
      </c>
      <c r="H31" s="21" t="s">
        <v>52</v>
      </c>
      <c r="I31" s="21" t="s">
        <v>52</v>
      </c>
      <c r="J31" s="21" t="s">
        <v>52</v>
      </c>
      <c r="K31" s="21">
        <v>16</v>
      </c>
      <c r="L31" s="21">
        <v>82.74</v>
      </c>
      <c r="M31" s="21" t="s">
        <v>52</v>
      </c>
      <c r="N31" s="21">
        <v>0</v>
      </c>
      <c r="O31" s="21">
        <v>1</v>
      </c>
      <c r="P31" s="21">
        <v>0</v>
      </c>
      <c r="Q31" s="21" t="s">
        <v>52</v>
      </c>
      <c r="R31" s="66">
        <v>41838.444560185184</v>
      </c>
      <c r="S31" s="66" t="s">
        <v>59</v>
      </c>
      <c r="T31" s="66" t="s">
        <v>232</v>
      </c>
      <c r="U31" s="66" t="s">
        <v>53</v>
      </c>
      <c r="V31" s="67">
        <v>0</v>
      </c>
      <c r="W31" s="67" t="s">
        <v>52</v>
      </c>
      <c r="X31" s="68">
        <v>41841.65048611111</v>
      </c>
      <c r="Y31" s="68">
        <v>41841.651967592596</v>
      </c>
      <c r="Z31" s="67">
        <v>0</v>
      </c>
      <c r="AA31" s="67">
        <f>IFERROR(IF(OR(C31&lt;&gt;C30,ABS(TEXT(Tabla_ss2p_pedidos[[#This Row],[fecha_solicitud]],"d")-TEXT(Tabla_ss2p_pedidos[[#This Row],[fecha_solicitud]],"d"))&gt;=1),1,AA30+1),1)</f>
        <v>15</v>
      </c>
      <c r="AB3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1511201421121072014</v>
      </c>
    </row>
    <row r="32" spans="1:28" x14ac:dyDescent="0.25">
      <c r="A32" s="21">
        <v>5319</v>
      </c>
      <c r="B32" s="21">
        <v>500147</v>
      </c>
      <c r="C32" s="21">
        <v>211</v>
      </c>
      <c r="D32" s="21">
        <v>9</v>
      </c>
      <c r="E32" s="21">
        <v>11</v>
      </c>
      <c r="F32" s="21">
        <v>2014</v>
      </c>
      <c r="G32" s="21" t="s">
        <v>260</v>
      </c>
      <c r="H32" s="21" t="s">
        <v>52</v>
      </c>
      <c r="I32" s="21" t="s">
        <v>52</v>
      </c>
      <c r="J32" s="21" t="s">
        <v>52</v>
      </c>
      <c r="K32" s="21">
        <v>5</v>
      </c>
      <c r="L32" s="21">
        <v>130.43</v>
      </c>
      <c r="M32" s="21" t="s">
        <v>52</v>
      </c>
      <c r="N32" s="21">
        <v>0</v>
      </c>
      <c r="O32" s="21">
        <v>1</v>
      </c>
      <c r="P32" s="21">
        <v>0</v>
      </c>
      <c r="Q32" s="21" t="s">
        <v>52</v>
      </c>
      <c r="R32" s="66">
        <v>41838.444560185184</v>
      </c>
      <c r="S32" s="66" t="s">
        <v>59</v>
      </c>
      <c r="T32" s="66" t="s">
        <v>232</v>
      </c>
      <c r="U32" s="66" t="s">
        <v>53</v>
      </c>
      <c r="V32" s="67">
        <v>0</v>
      </c>
      <c r="W32" s="67" t="s">
        <v>52</v>
      </c>
      <c r="X32" s="68">
        <v>41841.650613425925</v>
      </c>
      <c r="Y32" s="68">
        <v>41841.652187500003</v>
      </c>
      <c r="Z32" s="67">
        <v>0</v>
      </c>
      <c r="AA32" s="67">
        <f>IFERROR(IF(OR(C32&lt;&gt;C31,ABS(TEXT(Tabla_ss2p_pedidos[[#This Row],[fecha_solicitud]],"d")-TEXT(Tabla_ss2p_pedidos[[#This Row],[fecha_solicitud]],"d"))&gt;=1),1,AA31+1),1)</f>
        <v>16</v>
      </c>
      <c r="AB3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1611201421121072014</v>
      </c>
    </row>
    <row r="33" spans="1:28" x14ac:dyDescent="0.25">
      <c r="A33" s="21">
        <v>5250</v>
      </c>
      <c r="B33" s="21">
        <v>501397</v>
      </c>
      <c r="C33" s="21">
        <v>211</v>
      </c>
      <c r="D33" s="21">
        <v>3</v>
      </c>
      <c r="E33" s="21">
        <v>11</v>
      </c>
      <c r="F33" s="21">
        <v>2014</v>
      </c>
      <c r="G33" s="21" t="s">
        <v>261</v>
      </c>
      <c r="H33" s="21" t="s">
        <v>262</v>
      </c>
      <c r="I33" s="21" t="s">
        <v>263</v>
      </c>
      <c r="J33" s="21" t="s">
        <v>52</v>
      </c>
      <c r="K33" s="21">
        <v>5</v>
      </c>
      <c r="L33" s="21">
        <v>73.42</v>
      </c>
      <c r="M33" s="21" t="s">
        <v>56</v>
      </c>
      <c r="N33" s="21">
        <v>0</v>
      </c>
      <c r="O33" s="21">
        <v>4</v>
      </c>
      <c r="P33" s="21">
        <v>0</v>
      </c>
      <c r="Q33" s="21" t="s">
        <v>52</v>
      </c>
      <c r="R33" s="66">
        <v>41838.441620370373</v>
      </c>
      <c r="S33" s="66" t="s">
        <v>59</v>
      </c>
      <c r="T33" s="66" t="s">
        <v>232</v>
      </c>
      <c r="U33" s="66" t="s">
        <v>53</v>
      </c>
      <c r="V33" s="67">
        <v>0</v>
      </c>
      <c r="W33" s="67" t="s">
        <v>52</v>
      </c>
      <c r="X33" s="68">
        <v>41841.656134259261</v>
      </c>
      <c r="Y33" s="68">
        <v>41841.658900462964</v>
      </c>
      <c r="Z33" s="67">
        <v>0</v>
      </c>
      <c r="AA33" s="67">
        <f>IFERROR(IF(OR(C33&lt;&gt;C32,ABS(TEXT(Tabla_ss2p_pedidos[[#This Row],[fecha_solicitud]],"d")-TEXT(Tabla_ss2p_pedidos[[#This Row],[fecha_solicitud]],"d"))&gt;=1),1,AA32+1),1)</f>
        <v>17</v>
      </c>
      <c r="AB3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1711201421121072014</v>
      </c>
    </row>
    <row r="34" spans="1:28" x14ac:dyDescent="0.25">
      <c r="A34" s="21">
        <v>5243</v>
      </c>
      <c r="B34" s="21">
        <v>497861</v>
      </c>
      <c r="C34" s="21">
        <v>211</v>
      </c>
      <c r="D34" s="21">
        <v>1</v>
      </c>
      <c r="E34" s="21">
        <v>11</v>
      </c>
      <c r="F34" s="21">
        <v>2014</v>
      </c>
      <c r="G34" s="21" t="s">
        <v>264</v>
      </c>
      <c r="H34" s="21" t="s">
        <v>265</v>
      </c>
      <c r="I34" s="21" t="s">
        <v>266</v>
      </c>
      <c r="J34" s="21" t="s">
        <v>52</v>
      </c>
      <c r="K34" s="21">
        <v>8</v>
      </c>
      <c r="L34" s="21">
        <v>38.43</v>
      </c>
      <c r="M34" s="21" t="s">
        <v>56</v>
      </c>
      <c r="N34" s="21">
        <v>0</v>
      </c>
      <c r="O34" s="21">
        <v>1</v>
      </c>
      <c r="P34" s="21">
        <v>0</v>
      </c>
      <c r="Q34" s="21" t="s">
        <v>52</v>
      </c>
      <c r="R34" s="66">
        <v>41838.441620370373</v>
      </c>
      <c r="S34" s="66" t="s">
        <v>59</v>
      </c>
      <c r="T34" s="66" t="s">
        <v>232</v>
      </c>
      <c r="U34" s="66" t="s">
        <v>53</v>
      </c>
      <c r="V34" s="67">
        <v>0</v>
      </c>
      <c r="W34" s="67" t="s">
        <v>52</v>
      </c>
      <c r="X34" s="68">
        <v>41841.656238425923</v>
      </c>
      <c r="Y34" s="68">
        <v>41841.658946759257</v>
      </c>
      <c r="Z34" s="67">
        <v>0</v>
      </c>
      <c r="AA34" s="67">
        <f>IFERROR(IF(OR(C34&lt;&gt;C33,ABS(TEXT(Tabla_ss2p_pedidos[[#This Row],[fecha_solicitud]],"d")-TEXT(Tabla_ss2p_pedidos[[#This Row],[fecha_solicitud]],"d"))&gt;=1),1,AA33+1),1)</f>
        <v>18</v>
      </c>
      <c r="AB3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1811201421121072014</v>
      </c>
    </row>
    <row r="35" spans="1:28" x14ac:dyDescent="0.25">
      <c r="A35" s="21">
        <v>5307</v>
      </c>
      <c r="B35" s="21">
        <v>501399</v>
      </c>
      <c r="C35" s="21">
        <v>211</v>
      </c>
      <c r="D35" s="21">
        <v>18</v>
      </c>
      <c r="E35" s="21">
        <v>11</v>
      </c>
      <c r="F35" s="21">
        <v>2014</v>
      </c>
      <c r="G35" s="21" t="s">
        <v>270</v>
      </c>
      <c r="H35" s="21" t="s">
        <v>271</v>
      </c>
      <c r="I35" s="21" t="s">
        <v>272</v>
      </c>
      <c r="J35" s="21" t="s">
        <v>52</v>
      </c>
      <c r="K35" s="21">
        <v>4</v>
      </c>
      <c r="L35" s="21">
        <v>34.35</v>
      </c>
      <c r="M35" s="21" t="s">
        <v>58</v>
      </c>
      <c r="N35" s="21">
        <v>0</v>
      </c>
      <c r="O35" s="21">
        <v>1</v>
      </c>
      <c r="P35" s="21">
        <v>0</v>
      </c>
      <c r="Q35" s="21" t="s">
        <v>52</v>
      </c>
      <c r="R35" s="66">
        <v>41838.441643518519</v>
      </c>
      <c r="S35" s="66" t="s">
        <v>59</v>
      </c>
      <c r="T35" s="66" t="s">
        <v>232</v>
      </c>
      <c r="U35" s="66" t="s">
        <v>53</v>
      </c>
      <c r="V35" s="67">
        <v>0</v>
      </c>
      <c r="W35" s="67" t="s">
        <v>52</v>
      </c>
      <c r="X35" s="68">
        <v>41841.660312499997</v>
      </c>
      <c r="Y35" s="68">
        <v>41841.662627314814</v>
      </c>
      <c r="Z35" s="67">
        <v>0</v>
      </c>
      <c r="AA35" s="67">
        <f>IFERROR(IF(OR(C35&lt;&gt;C34,ABS(TEXT(Tabla_ss2p_pedidos[[#This Row],[fecha_solicitud]],"d")-TEXT(Tabla_ss2p_pedidos[[#This Row],[fecha_solicitud]],"d"))&gt;=1),1,AA34+1),1)</f>
        <v>19</v>
      </c>
      <c r="AB3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1911201421121072014</v>
      </c>
    </row>
    <row r="36" spans="1:28" x14ac:dyDescent="0.25">
      <c r="A36" s="21">
        <v>5302</v>
      </c>
      <c r="B36" s="21">
        <v>495751</v>
      </c>
      <c r="C36" s="21">
        <v>211</v>
      </c>
      <c r="D36" s="21">
        <v>17</v>
      </c>
      <c r="E36" s="21">
        <v>11</v>
      </c>
      <c r="F36" s="21">
        <v>2014</v>
      </c>
      <c r="G36" s="21" t="s">
        <v>267</v>
      </c>
      <c r="H36" s="21" t="s">
        <v>268</v>
      </c>
      <c r="I36" s="21" t="s">
        <v>269</v>
      </c>
      <c r="J36" s="21" t="s">
        <v>52</v>
      </c>
      <c r="K36" s="21">
        <v>9</v>
      </c>
      <c r="L36" s="21">
        <v>135.88999999999999</v>
      </c>
      <c r="M36" s="21" t="s">
        <v>56</v>
      </c>
      <c r="N36" s="21">
        <v>0</v>
      </c>
      <c r="O36" s="21">
        <v>1</v>
      </c>
      <c r="P36" s="21">
        <v>0</v>
      </c>
      <c r="Q36" s="21" t="s">
        <v>52</v>
      </c>
      <c r="R36" s="66">
        <v>41838.441631944443</v>
      </c>
      <c r="S36" s="66" t="s">
        <v>59</v>
      </c>
      <c r="T36" s="66" t="s">
        <v>232</v>
      </c>
      <c r="U36" s="66" t="s">
        <v>53</v>
      </c>
      <c r="V36" s="67">
        <v>0</v>
      </c>
      <c r="W36" s="67" t="s">
        <v>52</v>
      </c>
      <c r="X36" s="68">
        <v>41841.660439814812</v>
      </c>
      <c r="Y36" s="68">
        <v>41841.662592592591</v>
      </c>
      <c r="Z36" s="67">
        <v>0</v>
      </c>
      <c r="AA36" s="67">
        <f>IFERROR(IF(OR(C36&lt;&gt;C35,ABS(TEXT(Tabla_ss2p_pedidos[[#This Row],[fecha_solicitud]],"d")-TEXT(Tabla_ss2p_pedidos[[#This Row],[fecha_solicitud]],"d"))&gt;=1),1,AA35+1),1)</f>
        <v>20</v>
      </c>
      <c r="AB3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2011201421121072014</v>
      </c>
    </row>
    <row r="37" spans="1:28" x14ac:dyDescent="0.25">
      <c r="A37" s="21">
        <v>5478</v>
      </c>
      <c r="B37" s="21">
        <v>458454</v>
      </c>
      <c r="C37" s="21">
        <v>215</v>
      </c>
      <c r="D37" s="21">
        <v>13</v>
      </c>
      <c r="E37" s="21">
        <v>11</v>
      </c>
      <c r="F37" s="21">
        <v>2014</v>
      </c>
      <c r="G37" s="21" t="s">
        <v>273</v>
      </c>
      <c r="H37" s="21" t="s">
        <v>274</v>
      </c>
      <c r="I37" s="21" t="s">
        <v>275</v>
      </c>
      <c r="J37" s="21" t="s">
        <v>275</v>
      </c>
      <c r="K37" s="21">
        <v>15</v>
      </c>
      <c r="L37" s="21">
        <v>24.83</v>
      </c>
      <c r="M37" s="21" t="s">
        <v>56</v>
      </c>
      <c r="N37" s="21">
        <v>0</v>
      </c>
      <c r="O37" s="21">
        <v>1</v>
      </c>
      <c r="P37" s="21">
        <v>0</v>
      </c>
      <c r="Q37" s="21" t="s">
        <v>52</v>
      </c>
      <c r="R37" s="66">
        <v>41839.380162037036</v>
      </c>
      <c r="S37" s="66" t="s">
        <v>276</v>
      </c>
      <c r="T37" s="66" t="s">
        <v>277</v>
      </c>
      <c r="U37" s="66" t="s">
        <v>53</v>
      </c>
      <c r="V37" s="67">
        <v>0</v>
      </c>
      <c r="W37" s="67" t="s">
        <v>52</v>
      </c>
      <c r="X37" s="68">
        <v>41841.595706018517</v>
      </c>
      <c r="Y37" s="68">
        <v>41841.60365740741</v>
      </c>
      <c r="Z37" s="67">
        <v>0</v>
      </c>
      <c r="AA37" s="67">
        <f>IFERROR(IF(OR(C37&lt;&gt;C36,ABS(TEXT(Tabla_ss2p_pedidos[[#This Row],[fecha_solicitud]],"d")-TEXT(Tabla_ss2p_pedidos[[#This Row],[fecha_solicitud]],"d"))&gt;=1),1,AA36+1),1)</f>
        <v>1</v>
      </c>
      <c r="AB3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111201421521072014</v>
      </c>
    </row>
    <row r="38" spans="1:28" x14ac:dyDescent="0.25">
      <c r="A38" s="21">
        <v>5458</v>
      </c>
      <c r="B38" s="21">
        <v>489438</v>
      </c>
      <c r="C38" s="21">
        <v>215</v>
      </c>
      <c r="D38" s="21">
        <v>10</v>
      </c>
      <c r="E38" s="21">
        <v>11</v>
      </c>
      <c r="F38" s="21">
        <v>2014</v>
      </c>
      <c r="G38" s="21" t="s">
        <v>278</v>
      </c>
      <c r="H38" s="21" t="s">
        <v>279</v>
      </c>
      <c r="I38" s="21" t="s">
        <v>280</v>
      </c>
      <c r="J38" s="21" t="s">
        <v>281</v>
      </c>
      <c r="K38" s="21">
        <v>12</v>
      </c>
      <c r="L38" s="21">
        <v>81.08</v>
      </c>
      <c r="M38" s="21" t="s">
        <v>54</v>
      </c>
      <c r="N38" s="21">
        <v>0</v>
      </c>
      <c r="O38" s="21">
        <v>1</v>
      </c>
      <c r="P38" s="21">
        <v>0</v>
      </c>
      <c r="Q38" s="21" t="s">
        <v>52</v>
      </c>
      <c r="R38" s="66">
        <v>41839.380150462966</v>
      </c>
      <c r="S38" s="66" t="s">
        <v>282</v>
      </c>
      <c r="T38" s="66" t="s">
        <v>283</v>
      </c>
      <c r="U38" s="66" t="s">
        <v>53</v>
      </c>
      <c r="V38" s="67">
        <v>0</v>
      </c>
      <c r="W38" s="67" t="s">
        <v>52</v>
      </c>
      <c r="X38" s="68">
        <v>41841.595891203702</v>
      </c>
      <c r="Y38" s="68">
        <v>41841.603703703702</v>
      </c>
      <c r="Z38" s="67">
        <v>0</v>
      </c>
      <c r="AA38" s="67">
        <f>IFERROR(IF(OR(C38&lt;&gt;C37,ABS(TEXT(Tabla_ss2p_pedidos[[#This Row],[fecha_solicitud]],"d")-TEXT(Tabla_ss2p_pedidos[[#This Row],[fecha_solicitud]],"d"))&gt;=1),1,AA37+1),1)</f>
        <v>2</v>
      </c>
      <c r="AB3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211201421521072014</v>
      </c>
    </row>
    <row r="39" spans="1:28" x14ac:dyDescent="0.25">
      <c r="A39" s="21">
        <v>5467</v>
      </c>
      <c r="B39" s="21">
        <v>479195</v>
      </c>
      <c r="C39" s="21">
        <v>215</v>
      </c>
      <c r="D39" s="21">
        <v>11</v>
      </c>
      <c r="E39" s="21">
        <v>11</v>
      </c>
      <c r="F39" s="21">
        <v>2014</v>
      </c>
      <c r="G39" s="21" t="s">
        <v>284</v>
      </c>
      <c r="H39" s="21" t="s">
        <v>285</v>
      </c>
      <c r="I39" s="21" t="s">
        <v>286</v>
      </c>
      <c r="J39" s="21" t="s">
        <v>52</v>
      </c>
      <c r="K39" s="21">
        <v>17</v>
      </c>
      <c r="L39" s="21">
        <v>78.319999999999993</v>
      </c>
      <c r="M39" s="21" t="s">
        <v>87</v>
      </c>
      <c r="N39" s="21">
        <v>0</v>
      </c>
      <c r="O39" s="21">
        <v>1</v>
      </c>
      <c r="P39" s="21">
        <v>0</v>
      </c>
      <c r="Q39" s="21" t="s">
        <v>52</v>
      </c>
      <c r="R39" s="66">
        <v>41839.380162037036</v>
      </c>
      <c r="S39" s="66" t="s">
        <v>287</v>
      </c>
      <c r="T39" s="66" t="s">
        <v>277</v>
      </c>
      <c r="U39" s="66" t="s">
        <v>53</v>
      </c>
      <c r="V39" s="67">
        <v>0</v>
      </c>
      <c r="W39" s="67" t="s">
        <v>52</v>
      </c>
      <c r="X39" s="68">
        <v>41841.641145833331</v>
      </c>
      <c r="Y39" s="68">
        <v>41841.642928240741</v>
      </c>
      <c r="Z39" s="67">
        <v>0</v>
      </c>
      <c r="AA39" s="67">
        <f>IFERROR(IF(OR(C39&lt;&gt;C38,ABS(TEXT(Tabla_ss2p_pedidos[[#This Row],[fecha_solicitud]],"d")-TEXT(Tabla_ss2p_pedidos[[#This Row],[fecha_solicitud]],"d"))&gt;=1),1,AA38+1),1)</f>
        <v>3</v>
      </c>
      <c r="AB3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311201421521072014</v>
      </c>
    </row>
    <row r="40" spans="1:28" x14ac:dyDescent="0.25">
      <c r="A40" s="21">
        <v>5421</v>
      </c>
      <c r="B40" s="21">
        <v>307630</v>
      </c>
      <c r="C40" s="21">
        <v>215</v>
      </c>
      <c r="D40" s="21">
        <v>2</v>
      </c>
      <c r="E40" s="21">
        <v>11</v>
      </c>
      <c r="F40" s="21">
        <v>2014</v>
      </c>
      <c r="G40" s="21" t="s">
        <v>288</v>
      </c>
      <c r="H40" s="21" t="s">
        <v>289</v>
      </c>
      <c r="I40" s="21" t="s">
        <v>290</v>
      </c>
      <c r="J40" s="21" t="s">
        <v>291</v>
      </c>
      <c r="K40" s="21">
        <v>81</v>
      </c>
      <c r="L40" s="21">
        <v>71.680000000000007</v>
      </c>
      <c r="M40" s="21" t="s">
        <v>58</v>
      </c>
      <c r="N40" s="21">
        <v>0</v>
      </c>
      <c r="O40" s="21">
        <v>1</v>
      </c>
      <c r="P40" s="21">
        <v>0</v>
      </c>
      <c r="Q40" s="21" t="s">
        <v>52</v>
      </c>
      <c r="R40" s="66">
        <v>41839.38013888889</v>
      </c>
      <c r="S40" s="66" t="s">
        <v>292</v>
      </c>
      <c r="T40" s="66" t="s">
        <v>293</v>
      </c>
      <c r="U40" s="66" t="s">
        <v>53</v>
      </c>
      <c r="V40" s="67">
        <v>0</v>
      </c>
      <c r="W40" s="67" t="s">
        <v>52</v>
      </c>
      <c r="X40" s="68">
        <v>41841.652071759258</v>
      </c>
      <c r="Y40" s="68">
        <v>41841.653402777774</v>
      </c>
      <c r="Z40" s="67">
        <v>0</v>
      </c>
      <c r="AA40" s="67">
        <f>IFERROR(IF(OR(C40&lt;&gt;C39,ABS(TEXT(Tabla_ss2p_pedidos[[#This Row],[fecha_solicitud]],"d")-TEXT(Tabla_ss2p_pedidos[[#This Row],[fecha_solicitud]],"d"))&gt;=1),1,AA39+1),1)</f>
        <v>4</v>
      </c>
      <c r="AB4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411201421521072014</v>
      </c>
    </row>
    <row r="41" spans="1:28" x14ac:dyDescent="0.25">
      <c r="A41" s="21">
        <v>5452</v>
      </c>
      <c r="B41" s="21">
        <v>495622</v>
      </c>
      <c r="C41" s="21">
        <v>215</v>
      </c>
      <c r="D41" s="21">
        <v>9</v>
      </c>
      <c r="E41" s="21">
        <v>11</v>
      </c>
      <c r="F41" s="21">
        <v>2014</v>
      </c>
      <c r="G41" s="21" t="s">
        <v>294</v>
      </c>
      <c r="H41" s="21" t="s">
        <v>295</v>
      </c>
      <c r="I41" s="21" t="s">
        <v>296</v>
      </c>
      <c r="J41" s="21" t="s">
        <v>52</v>
      </c>
      <c r="K41" s="21">
        <v>9</v>
      </c>
      <c r="L41" s="21">
        <v>111.81</v>
      </c>
      <c r="M41" s="21" t="s">
        <v>54</v>
      </c>
      <c r="N41" s="21">
        <v>0</v>
      </c>
      <c r="O41" s="21">
        <v>1</v>
      </c>
      <c r="P41" s="21">
        <v>0</v>
      </c>
      <c r="Q41" s="21" t="s">
        <v>52</v>
      </c>
      <c r="R41" s="66">
        <v>41839.380150462966</v>
      </c>
      <c r="S41" s="66" t="s">
        <v>292</v>
      </c>
      <c r="T41" s="66" t="s">
        <v>297</v>
      </c>
      <c r="U41" s="66" t="s">
        <v>53</v>
      </c>
      <c r="V41" s="67">
        <v>0</v>
      </c>
      <c r="W41" s="67" t="s">
        <v>52</v>
      </c>
      <c r="X41" s="68">
        <v>41841.652638888889</v>
      </c>
      <c r="Y41" s="68">
        <v>41841.653449074074</v>
      </c>
      <c r="Z41" s="67">
        <v>0</v>
      </c>
      <c r="AA41" s="67">
        <f>IFERROR(IF(OR(C41&lt;&gt;C40,ABS(TEXT(Tabla_ss2p_pedidos[[#This Row],[fecha_solicitud]],"d")-TEXT(Tabla_ss2p_pedidos[[#This Row],[fecha_solicitud]],"d"))&gt;=1),1,AA40+1),1)</f>
        <v>5</v>
      </c>
      <c r="AB4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511201421521072014</v>
      </c>
    </row>
    <row r="42" spans="1:28" x14ac:dyDescent="0.25">
      <c r="A42" s="21">
        <v>5525</v>
      </c>
      <c r="B42" s="21">
        <v>17147</v>
      </c>
      <c r="C42" s="21">
        <v>215</v>
      </c>
      <c r="D42" s="21">
        <v>21</v>
      </c>
      <c r="E42" s="21">
        <v>11</v>
      </c>
      <c r="F42" s="21">
        <v>2014</v>
      </c>
      <c r="G42" s="21" t="s">
        <v>298</v>
      </c>
      <c r="H42" s="21" t="s">
        <v>299</v>
      </c>
      <c r="I42" s="21" t="s">
        <v>300</v>
      </c>
      <c r="J42" s="21" t="s">
        <v>301</v>
      </c>
      <c r="K42" s="21">
        <v>194</v>
      </c>
      <c r="L42" s="21">
        <v>75.64</v>
      </c>
      <c r="M42" s="21" t="s">
        <v>134</v>
      </c>
      <c r="N42" s="21">
        <v>0</v>
      </c>
      <c r="O42" s="21">
        <v>1</v>
      </c>
      <c r="P42" s="21">
        <v>0</v>
      </c>
      <c r="Q42" s="21" t="s">
        <v>52</v>
      </c>
      <c r="R42" s="66">
        <v>41839.380173611113</v>
      </c>
      <c r="S42" s="66" t="s">
        <v>292</v>
      </c>
      <c r="T42" s="66" t="s">
        <v>293</v>
      </c>
      <c r="U42" s="66" t="s">
        <v>53</v>
      </c>
      <c r="V42" s="67">
        <v>0</v>
      </c>
      <c r="W42" s="67" t="s">
        <v>52</v>
      </c>
      <c r="X42" s="68">
        <v>41841.652812499997</v>
      </c>
      <c r="Y42" s="68">
        <v>41841.653541666667</v>
      </c>
      <c r="Z42" s="67">
        <v>0</v>
      </c>
      <c r="AA42" s="67">
        <f>IFERROR(IF(OR(C42&lt;&gt;C41,ABS(TEXT(Tabla_ss2p_pedidos[[#This Row],[fecha_solicitud]],"d")-TEXT(Tabla_ss2p_pedidos[[#This Row],[fecha_solicitud]],"d"))&gt;=1),1,AA41+1),1)</f>
        <v>6</v>
      </c>
      <c r="AB4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611201421521072014</v>
      </c>
    </row>
    <row r="43" spans="1:28" x14ac:dyDescent="0.25">
      <c r="A43" s="21">
        <v>5509</v>
      </c>
      <c r="B43" s="21">
        <v>489465</v>
      </c>
      <c r="C43" s="21">
        <v>215</v>
      </c>
      <c r="D43" s="21">
        <v>18</v>
      </c>
      <c r="E43" s="21">
        <v>11</v>
      </c>
      <c r="F43" s="21">
        <v>2014</v>
      </c>
      <c r="G43" s="21" t="s">
        <v>302</v>
      </c>
      <c r="H43" s="21" t="s">
        <v>303</v>
      </c>
      <c r="I43" s="21" t="s">
        <v>304</v>
      </c>
      <c r="J43" s="21" t="s">
        <v>305</v>
      </c>
      <c r="K43" s="21">
        <v>12</v>
      </c>
      <c r="L43" s="21">
        <v>37.58</v>
      </c>
      <c r="M43" s="21" t="s">
        <v>58</v>
      </c>
      <c r="N43" s="21">
        <v>0</v>
      </c>
      <c r="O43" s="21">
        <v>1</v>
      </c>
      <c r="P43" s="21">
        <v>0</v>
      </c>
      <c r="Q43" s="21" t="s">
        <v>52</v>
      </c>
      <c r="R43" s="66">
        <v>41839.380173611113</v>
      </c>
      <c r="S43" s="66" t="s">
        <v>292</v>
      </c>
      <c r="T43" s="66" t="s">
        <v>293</v>
      </c>
      <c r="U43" s="66" t="s">
        <v>53</v>
      </c>
      <c r="V43" s="67">
        <v>0</v>
      </c>
      <c r="W43" s="67" t="s">
        <v>52</v>
      </c>
      <c r="X43" s="68">
        <v>41841.652974537035</v>
      </c>
      <c r="Y43" s="68">
        <v>41841.65357638889</v>
      </c>
      <c r="Z43" s="67">
        <v>0</v>
      </c>
      <c r="AA43" s="67">
        <f>IFERROR(IF(OR(C43&lt;&gt;C42,ABS(TEXT(Tabla_ss2p_pedidos[[#This Row],[fecha_solicitud]],"d")-TEXT(Tabla_ss2p_pedidos[[#This Row],[fecha_solicitud]],"d"))&gt;=1),1,AA42+1),1)</f>
        <v>7</v>
      </c>
      <c r="AB4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711201421521072014</v>
      </c>
    </row>
    <row r="44" spans="1:28" x14ac:dyDescent="0.25">
      <c r="A44" s="21">
        <v>5515</v>
      </c>
      <c r="B44" s="21">
        <v>363497</v>
      </c>
      <c r="C44" s="21">
        <v>215</v>
      </c>
      <c r="D44" s="21">
        <v>18</v>
      </c>
      <c r="E44" s="21">
        <v>11</v>
      </c>
      <c r="F44" s="21">
        <v>2014</v>
      </c>
      <c r="G44" s="21" t="s">
        <v>306</v>
      </c>
      <c r="H44" s="21" t="s">
        <v>307</v>
      </c>
      <c r="I44" s="21" t="s">
        <v>308</v>
      </c>
      <c r="J44" s="21" t="s">
        <v>52</v>
      </c>
      <c r="K44" s="21">
        <v>63</v>
      </c>
      <c r="L44" s="21">
        <v>35.83</v>
      </c>
      <c r="M44" s="21" t="s">
        <v>56</v>
      </c>
      <c r="N44" s="21">
        <v>0</v>
      </c>
      <c r="O44" s="21">
        <v>1</v>
      </c>
      <c r="P44" s="21">
        <v>0</v>
      </c>
      <c r="Q44" s="21" t="s">
        <v>52</v>
      </c>
      <c r="R44" s="66">
        <v>41839.380173611113</v>
      </c>
      <c r="S44" s="66" t="s">
        <v>292</v>
      </c>
      <c r="T44" s="66" t="s">
        <v>293</v>
      </c>
      <c r="U44" s="66" t="s">
        <v>53</v>
      </c>
      <c r="V44" s="67">
        <v>0</v>
      </c>
      <c r="W44" s="67" t="s">
        <v>52</v>
      </c>
      <c r="X44" s="68">
        <v>41841.653113425928</v>
      </c>
      <c r="Y44" s="68">
        <v>41841.653773148151</v>
      </c>
      <c r="Z44" s="67">
        <v>0</v>
      </c>
      <c r="AA44" s="67">
        <f>IFERROR(IF(OR(C44&lt;&gt;C43,ABS(TEXT(Tabla_ss2p_pedidos[[#This Row],[fecha_solicitud]],"d")-TEXT(Tabla_ss2p_pedidos[[#This Row],[fecha_solicitud]],"d"))&gt;=1),1,AA43+1),1)</f>
        <v>8</v>
      </c>
      <c r="AB4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811201421521072014</v>
      </c>
    </row>
    <row r="45" spans="1:28" x14ac:dyDescent="0.25">
      <c r="A45" s="21">
        <v>5523</v>
      </c>
      <c r="B45" s="21">
        <v>427092</v>
      </c>
      <c r="C45" s="21">
        <v>215</v>
      </c>
      <c r="D45" s="21">
        <v>21</v>
      </c>
      <c r="E45" s="21">
        <v>11</v>
      </c>
      <c r="F45" s="21">
        <v>2014</v>
      </c>
      <c r="G45" s="21" t="s">
        <v>309</v>
      </c>
      <c r="H45" s="21" t="s">
        <v>310</v>
      </c>
      <c r="I45" s="21" t="s">
        <v>311</v>
      </c>
      <c r="J45" s="21" t="s">
        <v>311</v>
      </c>
      <c r="K45" s="21">
        <v>41</v>
      </c>
      <c r="L45" s="21">
        <v>103.76</v>
      </c>
      <c r="M45" s="21" t="s">
        <v>58</v>
      </c>
      <c r="N45" s="21">
        <v>0</v>
      </c>
      <c r="O45" s="21">
        <v>2</v>
      </c>
      <c r="P45" s="21">
        <v>0</v>
      </c>
      <c r="Q45" s="21" t="s">
        <v>52</v>
      </c>
      <c r="R45" s="66">
        <v>41839.380173611113</v>
      </c>
      <c r="S45" s="66" t="s">
        <v>312</v>
      </c>
      <c r="T45" s="66" t="s">
        <v>293</v>
      </c>
      <c r="U45" s="66" t="s">
        <v>53</v>
      </c>
      <c r="V45" s="67">
        <v>0</v>
      </c>
      <c r="W45" s="67" t="s">
        <v>52</v>
      </c>
      <c r="X45" s="68">
        <v>41841.669907407406</v>
      </c>
      <c r="Y45" s="68">
        <v>41841.670844907407</v>
      </c>
      <c r="Z45" s="67">
        <v>0</v>
      </c>
      <c r="AA45" s="67">
        <f>IFERROR(IF(OR(C45&lt;&gt;C44,ABS(TEXT(Tabla_ss2p_pedidos[[#This Row],[fecha_solicitud]],"d")-TEXT(Tabla_ss2p_pedidos[[#This Row],[fecha_solicitud]],"d"))&gt;=1),1,AA44+1),1)</f>
        <v>9</v>
      </c>
      <c r="AB4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911201421521072014</v>
      </c>
    </row>
    <row r="46" spans="1:28" x14ac:dyDescent="0.25">
      <c r="A46" s="21">
        <v>5487</v>
      </c>
      <c r="B46" s="21">
        <v>343055</v>
      </c>
      <c r="C46" s="21">
        <v>215</v>
      </c>
      <c r="D46" s="21">
        <v>15</v>
      </c>
      <c r="E46" s="21">
        <v>11</v>
      </c>
      <c r="F46" s="21">
        <v>2014</v>
      </c>
      <c r="G46" s="21" t="s">
        <v>313</v>
      </c>
      <c r="H46" s="21" t="s">
        <v>314</v>
      </c>
      <c r="I46" s="21" t="s">
        <v>315</v>
      </c>
      <c r="J46" s="21" t="s">
        <v>315</v>
      </c>
      <c r="K46" s="21">
        <v>73</v>
      </c>
      <c r="L46" s="21">
        <v>26.82</v>
      </c>
      <c r="M46" s="21" t="s">
        <v>54</v>
      </c>
      <c r="N46" s="21">
        <v>0</v>
      </c>
      <c r="O46" s="21">
        <v>1</v>
      </c>
      <c r="P46" s="21">
        <v>0</v>
      </c>
      <c r="Q46" s="21" t="s">
        <v>52</v>
      </c>
      <c r="R46" s="66">
        <v>41839.380162037036</v>
      </c>
      <c r="S46" s="66" t="s">
        <v>292</v>
      </c>
      <c r="T46" s="66" t="s">
        <v>316</v>
      </c>
      <c r="U46" s="66" t="s">
        <v>53</v>
      </c>
      <c r="V46" s="67">
        <v>0</v>
      </c>
      <c r="W46" s="67" t="s">
        <v>52</v>
      </c>
      <c r="X46" s="68">
        <v>41841.686435185184</v>
      </c>
      <c r="Y46" s="68">
        <v>41841.688020833331</v>
      </c>
      <c r="Z46" s="67">
        <v>0</v>
      </c>
      <c r="AA46" s="67">
        <f>IFERROR(IF(OR(C46&lt;&gt;C45,ABS(TEXT(Tabla_ss2p_pedidos[[#This Row],[fecha_solicitud]],"d")-TEXT(Tabla_ss2p_pedidos[[#This Row],[fecha_solicitud]],"d"))&gt;=1),1,AA45+1),1)</f>
        <v>10</v>
      </c>
      <c r="AB4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1011201421521072014</v>
      </c>
    </row>
    <row r="47" spans="1:28" x14ac:dyDescent="0.25">
      <c r="A47" s="21">
        <v>4759</v>
      </c>
      <c r="B47" s="21">
        <v>351767</v>
      </c>
      <c r="C47" s="21">
        <v>217</v>
      </c>
      <c r="D47" s="21">
        <v>3</v>
      </c>
      <c r="E47" s="21">
        <v>11</v>
      </c>
      <c r="F47" s="21">
        <v>2014</v>
      </c>
      <c r="G47" s="21" t="s">
        <v>78</v>
      </c>
      <c r="H47" s="21" t="s">
        <v>79</v>
      </c>
      <c r="I47" s="21" t="s">
        <v>80</v>
      </c>
      <c r="J47" s="21" t="s">
        <v>52</v>
      </c>
      <c r="K47" s="21">
        <v>32</v>
      </c>
      <c r="L47" s="21">
        <v>72.53</v>
      </c>
      <c r="M47" s="21" t="s">
        <v>58</v>
      </c>
      <c r="N47" s="21">
        <v>0</v>
      </c>
      <c r="O47" s="21">
        <v>1</v>
      </c>
      <c r="P47" s="21">
        <v>0</v>
      </c>
      <c r="Q47" s="21" t="s">
        <v>52</v>
      </c>
      <c r="R47" s="66">
        <v>41837.35864583333</v>
      </c>
      <c r="S47" s="66" t="s">
        <v>81</v>
      </c>
      <c r="T47" s="66" t="s">
        <v>82</v>
      </c>
      <c r="U47" s="66" t="s">
        <v>53</v>
      </c>
      <c r="V47" s="67">
        <v>0</v>
      </c>
      <c r="W47" s="67" t="s">
        <v>52</v>
      </c>
      <c r="X47" s="68">
        <v>41841.490567129629</v>
      </c>
      <c r="Y47" s="68">
        <v>41841.494733796295</v>
      </c>
      <c r="Z47" s="67">
        <v>0</v>
      </c>
      <c r="AA47" s="67">
        <f>IFERROR(IF(OR(C47&lt;&gt;C46,ABS(TEXT(Tabla_ss2p_pedidos[[#This Row],[fecha_solicitud]],"d")-TEXT(Tabla_ss2p_pedidos[[#This Row],[fecha_solicitud]],"d"))&gt;=1),1,AA46+1),1)</f>
        <v>1</v>
      </c>
      <c r="AB4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111201421721072014</v>
      </c>
    </row>
    <row r="48" spans="1:28" x14ac:dyDescent="0.25">
      <c r="A48" s="21">
        <v>4800</v>
      </c>
      <c r="B48" s="21">
        <v>316135</v>
      </c>
      <c r="C48" s="21">
        <v>217</v>
      </c>
      <c r="D48" s="21">
        <v>13</v>
      </c>
      <c r="E48" s="21">
        <v>11</v>
      </c>
      <c r="F48" s="21">
        <v>2014</v>
      </c>
      <c r="G48" s="21" t="s">
        <v>317</v>
      </c>
      <c r="H48" s="21" t="s">
        <v>318</v>
      </c>
      <c r="I48" s="21" t="s">
        <v>319</v>
      </c>
      <c r="J48" s="21" t="s">
        <v>320</v>
      </c>
      <c r="K48" s="21">
        <v>95</v>
      </c>
      <c r="L48" s="21">
        <v>44.52</v>
      </c>
      <c r="M48" s="21" t="s">
        <v>54</v>
      </c>
      <c r="N48" s="21">
        <v>0</v>
      </c>
      <c r="O48" s="21">
        <v>1</v>
      </c>
      <c r="P48" s="21">
        <v>0</v>
      </c>
      <c r="Q48" s="21" t="s">
        <v>52</v>
      </c>
      <c r="R48" s="66">
        <v>41837.358657407407</v>
      </c>
      <c r="S48" s="66" t="s">
        <v>321</v>
      </c>
      <c r="T48" s="66" t="s">
        <v>322</v>
      </c>
      <c r="U48" s="66" t="s">
        <v>53</v>
      </c>
      <c r="V48" s="67">
        <v>0</v>
      </c>
      <c r="W48" s="67" t="s">
        <v>52</v>
      </c>
      <c r="X48" s="68">
        <v>41841.511770833335</v>
      </c>
      <c r="Y48" s="68">
        <v>41841.514756944445</v>
      </c>
      <c r="Z48" s="67">
        <v>0</v>
      </c>
      <c r="AA48" s="67">
        <f>IFERROR(IF(OR(C48&lt;&gt;C47,ABS(TEXT(Tabla_ss2p_pedidos[[#This Row],[fecha_solicitud]],"d")-TEXT(Tabla_ss2p_pedidos[[#This Row],[fecha_solicitud]],"d"))&gt;=1),1,AA47+1),1)</f>
        <v>2</v>
      </c>
      <c r="AB4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211201421721072014</v>
      </c>
    </row>
    <row r="49" spans="1:28" x14ac:dyDescent="0.25">
      <c r="A49" s="21">
        <v>4801</v>
      </c>
      <c r="B49" s="21">
        <v>460890</v>
      </c>
      <c r="C49" s="21">
        <v>217</v>
      </c>
      <c r="D49" s="21">
        <v>13</v>
      </c>
      <c r="E49" s="21">
        <v>11</v>
      </c>
      <c r="F49" s="21">
        <v>2014</v>
      </c>
      <c r="G49" s="21" t="s">
        <v>323</v>
      </c>
      <c r="H49" s="21" t="s">
        <v>324</v>
      </c>
      <c r="I49" s="21" t="s">
        <v>325</v>
      </c>
      <c r="J49" s="21" t="s">
        <v>52</v>
      </c>
      <c r="K49" s="21">
        <v>25</v>
      </c>
      <c r="L49" s="21">
        <v>70.17</v>
      </c>
      <c r="M49" s="21" t="s">
        <v>54</v>
      </c>
      <c r="N49" s="21">
        <v>0</v>
      </c>
      <c r="O49" s="21">
        <v>1</v>
      </c>
      <c r="P49" s="21">
        <v>0</v>
      </c>
      <c r="Q49" s="21" t="s">
        <v>52</v>
      </c>
      <c r="R49" s="66">
        <v>41837.358657407407</v>
      </c>
      <c r="S49" s="66" t="s">
        <v>321</v>
      </c>
      <c r="T49" s="66" t="s">
        <v>322</v>
      </c>
      <c r="U49" s="66" t="s">
        <v>53</v>
      </c>
      <c r="V49" s="67">
        <v>0</v>
      </c>
      <c r="W49" s="67" t="s">
        <v>52</v>
      </c>
      <c r="X49" s="68">
        <v>41841.512013888889</v>
      </c>
      <c r="Y49" s="68">
        <v>41841.514791666668</v>
      </c>
      <c r="Z49" s="67">
        <v>0</v>
      </c>
      <c r="AA49" s="67">
        <f>IFERROR(IF(OR(C49&lt;&gt;C48,ABS(TEXT(Tabla_ss2p_pedidos[[#This Row],[fecha_solicitud]],"d")-TEXT(Tabla_ss2p_pedidos[[#This Row],[fecha_solicitud]],"d"))&gt;=1),1,AA48+1),1)</f>
        <v>3</v>
      </c>
      <c r="AB4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311201421721072014</v>
      </c>
    </row>
    <row r="50" spans="1:28" x14ac:dyDescent="0.25">
      <c r="A50" s="21">
        <v>4791</v>
      </c>
      <c r="B50" s="21">
        <v>506350</v>
      </c>
      <c r="C50" s="21">
        <v>217</v>
      </c>
      <c r="D50" s="21">
        <v>11</v>
      </c>
      <c r="E50" s="21">
        <v>11</v>
      </c>
      <c r="F50" s="21">
        <v>2014</v>
      </c>
      <c r="G50" s="21" t="s">
        <v>326</v>
      </c>
      <c r="H50" s="21" t="s">
        <v>327</v>
      </c>
      <c r="I50" s="21" t="s">
        <v>328</v>
      </c>
      <c r="J50" s="21" t="s">
        <v>328</v>
      </c>
      <c r="K50" s="21">
        <v>2</v>
      </c>
      <c r="L50" s="21">
        <v>95.5</v>
      </c>
      <c r="M50" s="21" t="s">
        <v>54</v>
      </c>
      <c r="N50" s="21">
        <v>0</v>
      </c>
      <c r="O50" s="21">
        <v>1</v>
      </c>
      <c r="P50" s="21">
        <v>0</v>
      </c>
      <c r="Q50" s="21" t="s">
        <v>52</v>
      </c>
      <c r="R50" s="66">
        <v>41837.358657407407</v>
      </c>
      <c r="S50" s="66" t="s">
        <v>59</v>
      </c>
      <c r="T50" s="66" t="s">
        <v>322</v>
      </c>
      <c r="U50" s="66" t="s">
        <v>53</v>
      </c>
      <c r="V50" s="67">
        <v>0</v>
      </c>
      <c r="W50" s="67" t="s">
        <v>52</v>
      </c>
      <c r="X50" s="68">
        <v>41841.647152777776</v>
      </c>
      <c r="Y50" s="68">
        <v>41841.648923611108</v>
      </c>
      <c r="Z50" s="67">
        <v>0</v>
      </c>
      <c r="AA50" s="67">
        <f>IFERROR(IF(OR(C50&lt;&gt;C49,ABS(TEXT(Tabla_ss2p_pedidos[[#This Row],[fecha_solicitud]],"d")-TEXT(Tabla_ss2p_pedidos[[#This Row],[fecha_solicitud]],"d"))&gt;=1),1,AA49+1),1)</f>
        <v>4</v>
      </c>
      <c r="AB5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411201421721072014</v>
      </c>
    </row>
    <row r="51" spans="1:28" x14ac:dyDescent="0.25">
      <c r="A51" s="21">
        <v>4817</v>
      </c>
      <c r="B51" s="21">
        <v>479327</v>
      </c>
      <c r="C51" s="21">
        <v>217</v>
      </c>
      <c r="D51" s="21">
        <v>15</v>
      </c>
      <c r="E51" s="21">
        <v>11</v>
      </c>
      <c r="F51" s="21">
        <v>2014</v>
      </c>
      <c r="G51" s="21" t="s">
        <v>329</v>
      </c>
      <c r="H51" s="21" t="s">
        <v>330</v>
      </c>
      <c r="I51" s="21" t="s">
        <v>331</v>
      </c>
      <c r="J51" s="21" t="s">
        <v>52</v>
      </c>
      <c r="K51" s="21">
        <v>14</v>
      </c>
      <c r="L51" s="21">
        <v>54.85</v>
      </c>
      <c r="M51" s="21" t="s">
        <v>54</v>
      </c>
      <c r="N51" s="21">
        <v>0</v>
      </c>
      <c r="O51" s="21">
        <v>1</v>
      </c>
      <c r="P51" s="21">
        <v>0</v>
      </c>
      <c r="Q51" s="21" t="s">
        <v>52</v>
      </c>
      <c r="R51" s="66">
        <v>41837.358657407407</v>
      </c>
      <c r="S51" s="66" t="s">
        <v>59</v>
      </c>
      <c r="T51" s="66" t="s">
        <v>322</v>
      </c>
      <c r="U51" s="66" t="s">
        <v>53</v>
      </c>
      <c r="V51" s="67">
        <v>0</v>
      </c>
      <c r="W51" s="67" t="s">
        <v>52</v>
      </c>
      <c r="X51" s="68">
        <v>41841.647407407407</v>
      </c>
      <c r="Y51" s="68">
        <v>41841.648993055554</v>
      </c>
      <c r="Z51" s="67">
        <v>0</v>
      </c>
      <c r="AA51" s="67">
        <f>IFERROR(IF(OR(C51&lt;&gt;C50,ABS(TEXT(Tabla_ss2p_pedidos[[#This Row],[fecha_solicitud]],"d")-TEXT(Tabla_ss2p_pedidos[[#This Row],[fecha_solicitud]],"d"))&gt;=1),1,AA50+1),1)</f>
        <v>5</v>
      </c>
      <c r="AB5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511201421721072014</v>
      </c>
    </row>
    <row r="52" spans="1:28" x14ac:dyDescent="0.25">
      <c r="A52" s="21">
        <v>4819</v>
      </c>
      <c r="B52" s="21">
        <v>380356</v>
      </c>
      <c r="C52" s="21">
        <v>217</v>
      </c>
      <c r="D52" s="21">
        <v>15</v>
      </c>
      <c r="E52" s="21">
        <v>11</v>
      </c>
      <c r="F52" s="21">
        <v>2014</v>
      </c>
      <c r="G52" s="21" t="s">
        <v>332</v>
      </c>
      <c r="H52" s="21" t="s">
        <v>333</v>
      </c>
      <c r="I52" s="21" t="s">
        <v>334</v>
      </c>
      <c r="J52" s="21" t="s">
        <v>335</v>
      </c>
      <c r="K52" s="21">
        <v>30</v>
      </c>
      <c r="L52" s="21">
        <v>65.12</v>
      </c>
      <c r="M52" s="21" t="s">
        <v>56</v>
      </c>
      <c r="N52" s="21">
        <v>0</v>
      </c>
      <c r="O52" s="21">
        <v>1</v>
      </c>
      <c r="P52" s="21">
        <v>0</v>
      </c>
      <c r="Q52" s="21" t="s">
        <v>52</v>
      </c>
      <c r="R52" s="66">
        <v>41837.358657407407</v>
      </c>
      <c r="S52" s="66" t="s">
        <v>59</v>
      </c>
      <c r="T52" s="66" t="s">
        <v>322</v>
      </c>
      <c r="U52" s="66" t="s">
        <v>53</v>
      </c>
      <c r="V52" s="67">
        <v>0</v>
      </c>
      <c r="W52" s="67" t="s">
        <v>52</v>
      </c>
      <c r="X52" s="68">
        <v>41841.647523148145</v>
      </c>
      <c r="Y52" s="68">
        <v>41841.649074074077</v>
      </c>
      <c r="Z52" s="67">
        <v>0</v>
      </c>
      <c r="AA52" s="67">
        <f>IFERROR(IF(OR(C52&lt;&gt;C51,ABS(TEXT(Tabla_ss2p_pedidos[[#This Row],[fecha_solicitud]],"d")-TEXT(Tabla_ss2p_pedidos[[#This Row],[fecha_solicitud]],"d"))&gt;=1),1,AA51+1),1)</f>
        <v>6</v>
      </c>
      <c r="AB5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611201421721072014</v>
      </c>
    </row>
    <row r="53" spans="1:28" x14ac:dyDescent="0.25">
      <c r="A53" s="21">
        <v>4798</v>
      </c>
      <c r="B53" s="21">
        <v>317874</v>
      </c>
      <c r="C53" s="21">
        <v>217</v>
      </c>
      <c r="D53" s="21">
        <v>12</v>
      </c>
      <c r="E53" s="21">
        <v>11</v>
      </c>
      <c r="F53" s="21">
        <v>2014</v>
      </c>
      <c r="G53" s="21" t="s">
        <v>336</v>
      </c>
      <c r="H53" s="21" t="s">
        <v>337</v>
      </c>
      <c r="I53" s="21" t="s">
        <v>338</v>
      </c>
      <c r="J53" s="21" t="s">
        <v>339</v>
      </c>
      <c r="K53" s="21">
        <v>90</v>
      </c>
      <c r="L53" s="21">
        <v>172.87</v>
      </c>
      <c r="M53" s="21" t="s">
        <v>56</v>
      </c>
      <c r="N53" s="21">
        <v>0</v>
      </c>
      <c r="O53" s="21">
        <v>3</v>
      </c>
      <c r="P53" s="21">
        <v>0</v>
      </c>
      <c r="Q53" s="21" t="s">
        <v>52</v>
      </c>
      <c r="R53" s="66">
        <v>41837.358657407407</v>
      </c>
      <c r="S53" s="66" t="s">
        <v>340</v>
      </c>
      <c r="T53" s="66" t="s">
        <v>322</v>
      </c>
      <c r="U53" s="66" t="s">
        <v>53</v>
      </c>
      <c r="V53" s="67">
        <v>0</v>
      </c>
      <c r="W53" s="67" t="s">
        <v>52</v>
      </c>
      <c r="X53" s="68">
        <v>41841.669212962966</v>
      </c>
      <c r="Y53" s="68">
        <v>41841.670798611114</v>
      </c>
      <c r="Z53" s="67">
        <v>0</v>
      </c>
      <c r="AA53" s="67">
        <f>IFERROR(IF(OR(C53&lt;&gt;C52,ABS(TEXT(Tabla_ss2p_pedidos[[#This Row],[fecha_solicitud]],"d")-TEXT(Tabla_ss2p_pedidos[[#This Row],[fecha_solicitud]],"d"))&gt;=1),1,AA52+1),1)</f>
        <v>7</v>
      </c>
      <c r="AB5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711201421721072014</v>
      </c>
    </row>
    <row r="54" spans="1:28" x14ac:dyDescent="0.25">
      <c r="A54" s="21">
        <v>4772</v>
      </c>
      <c r="B54" s="21">
        <v>505266</v>
      </c>
      <c r="C54" s="21">
        <v>217</v>
      </c>
      <c r="D54" s="21">
        <v>7</v>
      </c>
      <c r="E54" s="21">
        <v>11</v>
      </c>
      <c r="F54" s="21">
        <v>2014</v>
      </c>
      <c r="G54" s="21" t="s">
        <v>341</v>
      </c>
      <c r="H54" s="21" t="s">
        <v>342</v>
      </c>
      <c r="I54" s="21" t="s">
        <v>343</v>
      </c>
      <c r="J54" s="21" t="s">
        <v>343</v>
      </c>
      <c r="K54" s="21">
        <v>3</v>
      </c>
      <c r="L54" s="21">
        <v>39.83</v>
      </c>
      <c r="M54" s="21" t="s">
        <v>54</v>
      </c>
      <c r="N54" s="21">
        <v>0</v>
      </c>
      <c r="O54" s="21">
        <v>1</v>
      </c>
      <c r="P54" s="21">
        <v>0</v>
      </c>
      <c r="Q54" s="21" t="s">
        <v>52</v>
      </c>
      <c r="R54" s="66">
        <v>41837.35864583333</v>
      </c>
      <c r="S54" s="66" t="s">
        <v>59</v>
      </c>
      <c r="T54" s="66" t="s">
        <v>322</v>
      </c>
      <c r="U54" s="66" t="s">
        <v>53</v>
      </c>
      <c r="V54" s="67">
        <v>0</v>
      </c>
      <c r="W54" s="67" t="s">
        <v>52</v>
      </c>
      <c r="X54" s="68">
        <v>41841.670011574075</v>
      </c>
      <c r="Y54" s="68">
        <v>41841.67087962963</v>
      </c>
      <c r="Z54" s="67">
        <v>0</v>
      </c>
      <c r="AA54" s="67">
        <f>IFERROR(IF(OR(C54&lt;&gt;C53,ABS(TEXT(Tabla_ss2p_pedidos[[#This Row],[fecha_solicitud]],"d")-TEXT(Tabla_ss2p_pedidos[[#This Row],[fecha_solicitud]],"d"))&gt;=1),1,AA53+1),1)</f>
        <v>8</v>
      </c>
      <c r="AB5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811201421721072014</v>
      </c>
    </row>
    <row r="55" spans="1:28" x14ac:dyDescent="0.25">
      <c r="A55" s="21">
        <v>4773</v>
      </c>
      <c r="B55" s="21">
        <v>17886</v>
      </c>
      <c r="C55" s="21">
        <v>217</v>
      </c>
      <c r="D55" s="21">
        <v>7</v>
      </c>
      <c r="E55" s="21">
        <v>11</v>
      </c>
      <c r="F55" s="21">
        <v>2014</v>
      </c>
      <c r="G55" s="21" t="s">
        <v>344</v>
      </c>
      <c r="H55" s="21" t="s">
        <v>345</v>
      </c>
      <c r="I55" s="21" t="s">
        <v>346</v>
      </c>
      <c r="J55" s="21" t="s">
        <v>347</v>
      </c>
      <c r="K55" s="21">
        <v>151</v>
      </c>
      <c r="L55" s="21">
        <v>52.17</v>
      </c>
      <c r="M55" s="21" t="s">
        <v>54</v>
      </c>
      <c r="N55" s="21">
        <v>0</v>
      </c>
      <c r="O55" s="21">
        <v>1</v>
      </c>
      <c r="P55" s="21">
        <v>0</v>
      </c>
      <c r="Q55" s="21" t="s">
        <v>52</v>
      </c>
      <c r="R55" s="66">
        <v>41837.35864583333</v>
      </c>
      <c r="S55" s="66" t="s">
        <v>59</v>
      </c>
      <c r="T55" s="66" t="s">
        <v>322</v>
      </c>
      <c r="U55" s="66" t="s">
        <v>53</v>
      </c>
      <c r="V55" s="67">
        <v>0</v>
      </c>
      <c r="W55" s="67" t="s">
        <v>52</v>
      </c>
      <c r="X55" s="68">
        <v>41841.670115740744</v>
      </c>
      <c r="Y55" s="68">
        <v>41841.670937499999</v>
      </c>
      <c r="Z55" s="67">
        <v>0</v>
      </c>
      <c r="AA55" s="67">
        <f>IFERROR(IF(OR(C55&lt;&gt;C54,ABS(TEXT(Tabla_ss2p_pedidos[[#This Row],[fecha_solicitud]],"d")-TEXT(Tabla_ss2p_pedidos[[#This Row],[fecha_solicitud]],"d"))&gt;=1),1,AA54+1),1)</f>
        <v>9</v>
      </c>
      <c r="AB5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911201421721072014</v>
      </c>
    </row>
    <row r="56" spans="1:28" x14ac:dyDescent="0.25">
      <c r="A56" s="21">
        <v>4780</v>
      </c>
      <c r="B56" s="21">
        <v>479249</v>
      </c>
      <c r="C56" s="21">
        <v>217</v>
      </c>
      <c r="D56" s="21">
        <v>7</v>
      </c>
      <c r="E56" s="21">
        <v>11</v>
      </c>
      <c r="F56" s="21">
        <v>2014</v>
      </c>
      <c r="G56" s="21" t="s">
        <v>348</v>
      </c>
      <c r="H56" s="21" t="s">
        <v>349</v>
      </c>
      <c r="I56" s="21" t="s">
        <v>350</v>
      </c>
      <c r="J56" s="21" t="s">
        <v>52</v>
      </c>
      <c r="K56" s="21">
        <v>12</v>
      </c>
      <c r="L56" s="21">
        <v>35.950000000000003</v>
      </c>
      <c r="M56" s="21" t="s">
        <v>56</v>
      </c>
      <c r="N56" s="21">
        <v>0</v>
      </c>
      <c r="O56" s="21">
        <v>1</v>
      </c>
      <c r="P56" s="21">
        <v>0</v>
      </c>
      <c r="Q56" s="21" t="s">
        <v>52</v>
      </c>
      <c r="R56" s="66">
        <v>41837.35864583333</v>
      </c>
      <c r="S56" s="66" t="s">
        <v>59</v>
      </c>
      <c r="T56" s="66" t="s">
        <v>322</v>
      </c>
      <c r="U56" s="66" t="s">
        <v>53</v>
      </c>
      <c r="V56" s="67">
        <v>0</v>
      </c>
      <c r="W56" s="67" t="s">
        <v>52</v>
      </c>
      <c r="X56" s="68">
        <v>41841.670231481483</v>
      </c>
      <c r="Y56" s="68">
        <v>41841.670995370368</v>
      </c>
      <c r="Z56" s="67">
        <v>0</v>
      </c>
      <c r="AA56" s="67">
        <f>IFERROR(IF(OR(C56&lt;&gt;C55,ABS(TEXT(Tabla_ss2p_pedidos[[#This Row],[fecha_solicitud]],"d")-TEXT(Tabla_ss2p_pedidos[[#This Row],[fecha_solicitud]],"d"))&gt;=1),1,AA55+1),1)</f>
        <v>10</v>
      </c>
      <c r="AB5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1011201421721072014</v>
      </c>
    </row>
    <row r="57" spans="1:28" x14ac:dyDescent="0.25">
      <c r="A57" s="21">
        <v>4111</v>
      </c>
      <c r="B57" s="21">
        <v>506181</v>
      </c>
      <c r="C57" s="21">
        <v>218</v>
      </c>
      <c r="D57" s="21">
        <v>9</v>
      </c>
      <c r="E57" s="21">
        <v>11</v>
      </c>
      <c r="F57" s="21">
        <v>2014</v>
      </c>
      <c r="G57" s="21" t="s">
        <v>375</v>
      </c>
      <c r="H57" s="21" t="s">
        <v>376</v>
      </c>
      <c r="I57" s="21" t="s">
        <v>377</v>
      </c>
      <c r="J57" s="21" t="s">
        <v>377</v>
      </c>
      <c r="K57" s="21">
        <v>2</v>
      </c>
      <c r="L57" s="21">
        <v>70.56</v>
      </c>
      <c r="M57" s="21" t="s">
        <v>56</v>
      </c>
      <c r="N57" s="21">
        <v>0</v>
      </c>
      <c r="O57" s="21">
        <v>1</v>
      </c>
      <c r="P57" s="21">
        <v>0</v>
      </c>
      <c r="Q57" s="21" t="s">
        <v>52</v>
      </c>
      <c r="R57" s="66">
        <v>41835.335069444445</v>
      </c>
      <c r="S57" s="66" t="s">
        <v>59</v>
      </c>
      <c r="T57" s="66" t="s">
        <v>355</v>
      </c>
      <c r="U57" s="66" t="s">
        <v>53</v>
      </c>
      <c r="V57" s="67">
        <v>0</v>
      </c>
      <c r="W57" s="67" t="s">
        <v>52</v>
      </c>
      <c r="X57" s="68">
        <v>41841.40421296296</v>
      </c>
      <c r="Y57" s="68">
        <v>41841.774097222224</v>
      </c>
      <c r="Z57" s="67">
        <v>2</v>
      </c>
      <c r="AA57" s="67">
        <f>IFERROR(IF(OR(C57&lt;&gt;C56,ABS(TEXT(Tabla_ss2p_pedidos[[#This Row],[fecha_solicitud]],"d")-TEXT(Tabla_ss2p_pedidos[[#This Row],[fecha_solicitud]],"d"))&gt;=1),1,AA56+1),1)</f>
        <v>1</v>
      </c>
      <c r="AB5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111201421821072014</v>
      </c>
    </row>
    <row r="58" spans="1:28" x14ac:dyDescent="0.25">
      <c r="A58" s="21">
        <v>4101</v>
      </c>
      <c r="B58" s="21">
        <v>506182</v>
      </c>
      <c r="C58" s="21">
        <v>218</v>
      </c>
      <c r="D58" s="21">
        <v>7</v>
      </c>
      <c r="E58" s="21">
        <v>11</v>
      </c>
      <c r="F58" s="21">
        <v>2014</v>
      </c>
      <c r="G58" s="21" t="s">
        <v>359</v>
      </c>
      <c r="H58" s="21" t="s">
        <v>360</v>
      </c>
      <c r="I58" s="21" t="s">
        <v>361</v>
      </c>
      <c r="J58" s="21" t="s">
        <v>52</v>
      </c>
      <c r="K58" s="21">
        <v>2</v>
      </c>
      <c r="L58" s="21">
        <v>63.65</v>
      </c>
      <c r="M58" s="21" t="s">
        <v>54</v>
      </c>
      <c r="N58" s="21">
        <v>0</v>
      </c>
      <c r="O58" s="21">
        <v>1</v>
      </c>
      <c r="P58" s="21">
        <v>0</v>
      </c>
      <c r="Q58" s="21" t="s">
        <v>52</v>
      </c>
      <c r="R58" s="66">
        <v>41835.335069444445</v>
      </c>
      <c r="S58" s="66" t="s">
        <v>354</v>
      </c>
      <c r="T58" s="66" t="s">
        <v>355</v>
      </c>
      <c r="U58" s="66" t="s">
        <v>53</v>
      </c>
      <c r="V58" s="67">
        <v>0</v>
      </c>
      <c r="W58" s="67" t="s">
        <v>52</v>
      </c>
      <c r="X58" s="68">
        <v>41841.60361111111</v>
      </c>
      <c r="Y58" s="68">
        <v>41841.605914351851</v>
      </c>
      <c r="Z58" s="67">
        <v>0</v>
      </c>
      <c r="AA58" s="67">
        <f>IFERROR(IF(OR(C58&lt;&gt;C57,ABS(TEXT(Tabla_ss2p_pedidos[[#This Row],[fecha_solicitud]],"d")-TEXT(Tabla_ss2p_pedidos[[#This Row],[fecha_solicitud]],"d"))&gt;=1),1,AA57+1),1)</f>
        <v>2</v>
      </c>
      <c r="AB5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211201421821072014</v>
      </c>
    </row>
    <row r="59" spans="1:28" x14ac:dyDescent="0.25">
      <c r="A59" s="21">
        <v>4162</v>
      </c>
      <c r="B59" s="21">
        <v>506184</v>
      </c>
      <c r="C59" s="21">
        <v>218</v>
      </c>
      <c r="D59" s="21">
        <v>21</v>
      </c>
      <c r="E59" s="21">
        <v>11</v>
      </c>
      <c r="F59" s="21">
        <v>2014</v>
      </c>
      <c r="G59" s="21" t="s">
        <v>356</v>
      </c>
      <c r="H59" s="21" t="s">
        <v>357</v>
      </c>
      <c r="I59" s="21" t="s">
        <v>358</v>
      </c>
      <c r="J59" s="21" t="s">
        <v>52</v>
      </c>
      <c r="K59" s="21">
        <v>2</v>
      </c>
      <c r="L59" s="21">
        <v>31.83</v>
      </c>
      <c r="M59" s="21" t="s">
        <v>56</v>
      </c>
      <c r="N59" s="21">
        <v>0</v>
      </c>
      <c r="O59" s="21">
        <v>1</v>
      </c>
      <c r="P59" s="21">
        <v>0</v>
      </c>
      <c r="Q59" s="21" t="s">
        <v>52</v>
      </c>
      <c r="R59" s="66">
        <v>41835.335092592592</v>
      </c>
      <c r="S59" s="66" t="s">
        <v>354</v>
      </c>
      <c r="T59" s="66" t="s">
        <v>355</v>
      </c>
      <c r="U59" s="66" t="s">
        <v>53</v>
      </c>
      <c r="V59" s="67">
        <v>0</v>
      </c>
      <c r="W59" s="67" t="s">
        <v>52</v>
      </c>
      <c r="X59" s="68">
        <v>41841.603750000002</v>
      </c>
      <c r="Y59" s="68">
        <v>41841.605868055558</v>
      </c>
      <c r="Z59" s="67">
        <v>0</v>
      </c>
      <c r="AA59" s="67">
        <f>IFERROR(IF(OR(C59&lt;&gt;C58,ABS(TEXT(Tabla_ss2p_pedidos[[#This Row],[fecha_solicitud]],"d")-TEXT(Tabla_ss2p_pedidos[[#This Row],[fecha_solicitud]],"d"))&gt;=1),1,AA58+1),1)</f>
        <v>3</v>
      </c>
      <c r="AB5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311201421821072014</v>
      </c>
    </row>
    <row r="60" spans="1:28" x14ac:dyDescent="0.25">
      <c r="A60" s="21">
        <v>4149</v>
      </c>
      <c r="B60" s="21">
        <v>471066</v>
      </c>
      <c r="C60" s="21">
        <v>218</v>
      </c>
      <c r="D60" s="21">
        <v>18</v>
      </c>
      <c r="E60" s="21">
        <v>11</v>
      </c>
      <c r="F60" s="21">
        <v>2014</v>
      </c>
      <c r="G60" s="21" t="s">
        <v>351</v>
      </c>
      <c r="H60" s="21" t="s">
        <v>352</v>
      </c>
      <c r="I60" s="21" t="s">
        <v>52</v>
      </c>
      <c r="J60" s="21" t="s">
        <v>353</v>
      </c>
      <c r="K60" s="21">
        <v>19</v>
      </c>
      <c r="L60" s="21">
        <v>74.16</v>
      </c>
      <c r="M60" s="21" t="s">
        <v>54</v>
      </c>
      <c r="N60" s="21">
        <v>0</v>
      </c>
      <c r="O60" s="21">
        <v>1</v>
      </c>
      <c r="P60" s="21">
        <v>0</v>
      </c>
      <c r="Q60" s="21" t="s">
        <v>52</v>
      </c>
      <c r="R60" s="66">
        <v>41835.335092592592</v>
      </c>
      <c r="S60" s="66" t="s">
        <v>354</v>
      </c>
      <c r="T60" s="66" t="s">
        <v>355</v>
      </c>
      <c r="U60" s="66" t="s">
        <v>53</v>
      </c>
      <c r="V60" s="67">
        <v>0</v>
      </c>
      <c r="W60" s="67" t="s">
        <v>52</v>
      </c>
      <c r="X60" s="68">
        <v>41841.604120370372</v>
      </c>
      <c r="Y60" s="68">
        <v>41841.605821759258</v>
      </c>
      <c r="Z60" s="67">
        <v>0</v>
      </c>
      <c r="AA60" s="67">
        <f>IFERROR(IF(OR(C60&lt;&gt;C59,ABS(TEXT(Tabla_ss2p_pedidos[[#This Row],[fecha_solicitud]],"d")-TEXT(Tabla_ss2p_pedidos[[#This Row],[fecha_solicitud]],"d"))&gt;=1),1,AA59+1),1)</f>
        <v>4</v>
      </c>
      <c r="AB6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411201421821072014</v>
      </c>
    </row>
    <row r="61" spans="1:28" x14ac:dyDescent="0.25">
      <c r="A61" s="21">
        <v>5339</v>
      </c>
      <c r="B61" s="21">
        <v>435788</v>
      </c>
      <c r="C61" s="21">
        <v>218</v>
      </c>
      <c r="D61" s="21">
        <v>21</v>
      </c>
      <c r="E61" s="21">
        <v>11</v>
      </c>
      <c r="F61" s="21">
        <v>2014</v>
      </c>
      <c r="G61" s="21" t="s">
        <v>362</v>
      </c>
      <c r="H61" s="21" t="s">
        <v>52</v>
      </c>
      <c r="I61" s="21" t="s">
        <v>52</v>
      </c>
      <c r="J61" s="21" t="s">
        <v>52</v>
      </c>
      <c r="K61" s="21">
        <v>38</v>
      </c>
      <c r="L61" s="21">
        <v>81.75</v>
      </c>
      <c r="M61" s="21" t="s">
        <v>52</v>
      </c>
      <c r="N61" s="21">
        <v>0</v>
      </c>
      <c r="O61" s="21">
        <v>1</v>
      </c>
      <c r="P61" s="21">
        <v>0</v>
      </c>
      <c r="Q61" s="21" t="s">
        <v>52</v>
      </c>
      <c r="R61" s="66">
        <v>41838.447534722225</v>
      </c>
      <c r="S61" s="66" t="s">
        <v>354</v>
      </c>
      <c r="T61" s="66" t="s">
        <v>355</v>
      </c>
      <c r="U61" s="66" t="s">
        <v>53</v>
      </c>
      <c r="V61" s="67">
        <v>0</v>
      </c>
      <c r="W61" s="67" t="s">
        <v>52</v>
      </c>
      <c r="X61" s="68">
        <v>41841.605092592596</v>
      </c>
      <c r="Y61" s="68">
        <v>41841.60864583333</v>
      </c>
      <c r="Z61" s="67">
        <v>0</v>
      </c>
      <c r="AA61" s="67">
        <f>IFERROR(IF(OR(C61&lt;&gt;C60,ABS(TEXT(Tabla_ss2p_pedidos[[#This Row],[fecha_solicitud]],"d")-TEXT(Tabla_ss2p_pedidos[[#This Row],[fecha_solicitud]],"d"))&gt;=1),1,AA60+1),1)</f>
        <v>5</v>
      </c>
      <c r="AB6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511201421821072014</v>
      </c>
    </row>
    <row r="62" spans="1:28" x14ac:dyDescent="0.25">
      <c r="A62" s="21">
        <v>4136</v>
      </c>
      <c r="B62" s="21">
        <v>504991</v>
      </c>
      <c r="C62" s="21">
        <v>218</v>
      </c>
      <c r="D62" s="21">
        <v>14</v>
      </c>
      <c r="E62" s="21">
        <v>11</v>
      </c>
      <c r="F62" s="21">
        <v>2014</v>
      </c>
      <c r="G62" s="21" t="s">
        <v>363</v>
      </c>
      <c r="H62" s="21" t="s">
        <v>364</v>
      </c>
      <c r="I62" s="21" t="s">
        <v>365</v>
      </c>
      <c r="J62" s="21" t="s">
        <v>52</v>
      </c>
      <c r="K62" s="21">
        <v>3</v>
      </c>
      <c r="L62" s="21">
        <v>52.31</v>
      </c>
      <c r="M62" s="21" t="s">
        <v>56</v>
      </c>
      <c r="N62" s="21">
        <v>0</v>
      </c>
      <c r="O62" s="21">
        <v>1</v>
      </c>
      <c r="P62" s="21">
        <v>0</v>
      </c>
      <c r="Q62" s="21" t="s">
        <v>52</v>
      </c>
      <c r="R62" s="66">
        <v>41835.335081018522</v>
      </c>
      <c r="S62" s="66" t="s">
        <v>59</v>
      </c>
      <c r="T62" s="66" t="s">
        <v>355</v>
      </c>
      <c r="U62" s="66" t="s">
        <v>53</v>
      </c>
      <c r="V62" s="67">
        <v>0</v>
      </c>
      <c r="W62" s="67" t="s">
        <v>52</v>
      </c>
      <c r="X62" s="68">
        <v>41841.634687500002</v>
      </c>
      <c r="Y62" s="68">
        <v>41841.637650462966</v>
      </c>
      <c r="Z62" s="67">
        <v>0</v>
      </c>
      <c r="AA62" s="67">
        <f>IFERROR(IF(OR(C62&lt;&gt;C61,ABS(TEXT(Tabla_ss2p_pedidos[[#This Row],[fecha_solicitud]],"d")-TEXT(Tabla_ss2p_pedidos[[#This Row],[fecha_solicitud]],"d"))&gt;=1),1,AA61+1),1)</f>
        <v>6</v>
      </c>
      <c r="AB6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611201421821072014</v>
      </c>
    </row>
    <row r="63" spans="1:28" x14ac:dyDescent="0.25">
      <c r="A63" s="21">
        <v>4104</v>
      </c>
      <c r="B63" s="21">
        <v>506106</v>
      </c>
      <c r="C63" s="21">
        <v>218</v>
      </c>
      <c r="D63" s="21">
        <v>8</v>
      </c>
      <c r="E63" s="21">
        <v>11</v>
      </c>
      <c r="F63" s="21">
        <v>2014</v>
      </c>
      <c r="G63" s="21" t="s">
        <v>366</v>
      </c>
      <c r="H63" s="21" t="s">
        <v>367</v>
      </c>
      <c r="I63" s="21" t="s">
        <v>368</v>
      </c>
      <c r="J63" s="21" t="s">
        <v>52</v>
      </c>
      <c r="K63" s="21">
        <v>2</v>
      </c>
      <c r="L63" s="21">
        <v>65.94</v>
      </c>
      <c r="M63" s="21" t="s">
        <v>56</v>
      </c>
      <c r="N63" s="21">
        <v>0</v>
      </c>
      <c r="O63" s="21">
        <v>2</v>
      </c>
      <c r="P63" s="21">
        <v>0</v>
      </c>
      <c r="Q63" s="21" t="s">
        <v>52</v>
      </c>
      <c r="R63" s="66">
        <v>41835.335069444445</v>
      </c>
      <c r="S63" s="66" t="s">
        <v>59</v>
      </c>
      <c r="T63" s="66" t="s">
        <v>355</v>
      </c>
      <c r="U63" s="66" t="s">
        <v>53</v>
      </c>
      <c r="V63" s="67">
        <v>0</v>
      </c>
      <c r="W63" s="67" t="s">
        <v>52</v>
      </c>
      <c r="X63" s="68">
        <v>41841.634837962964</v>
      </c>
      <c r="Y63" s="68">
        <v>41841.637696759259</v>
      </c>
      <c r="Z63" s="67">
        <v>0</v>
      </c>
      <c r="AA63" s="67">
        <f>IFERROR(IF(OR(C63&lt;&gt;C62,ABS(TEXT(Tabla_ss2p_pedidos[[#This Row],[fecha_solicitud]],"d")-TEXT(Tabla_ss2p_pedidos[[#This Row],[fecha_solicitud]],"d"))&gt;=1),1,AA62+1),1)</f>
        <v>7</v>
      </c>
      <c r="AB6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711201421821072014</v>
      </c>
    </row>
    <row r="64" spans="1:28" x14ac:dyDescent="0.25">
      <c r="A64" s="21">
        <v>4147</v>
      </c>
      <c r="B64" s="21">
        <v>506098</v>
      </c>
      <c r="C64" s="21">
        <v>218</v>
      </c>
      <c r="D64" s="21">
        <v>17</v>
      </c>
      <c r="E64" s="21">
        <v>11</v>
      </c>
      <c r="F64" s="21">
        <v>2014</v>
      </c>
      <c r="G64" s="21" t="s">
        <v>369</v>
      </c>
      <c r="H64" s="21" t="s">
        <v>370</v>
      </c>
      <c r="I64" s="21" t="s">
        <v>371</v>
      </c>
      <c r="J64" s="21" t="s">
        <v>52</v>
      </c>
      <c r="K64" s="21">
        <v>2</v>
      </c>
      <c r="L64" s="21">
        <v>55.61</v>
      </c>
      <c r="M64" s="21" t="s">
        <v>134</v>
      </c>
      <c r="N64" s="21">
        <v>0</v>
      </c>
      <c r="O64" s="21">
        <v>1</v>
      </c>
      <c r="P64" s="21">
        <v>0</v>
      </c>
      <c r="Q64" s="21" t="s">
        <v>52</v>
      </c>
      <c r="R64" s="66">
        <v>41835.335081018522</v>
      </c>
      <c r="S64" s="66" t="s">
        <v>372</v>
      </c>
      <c r="T64" s="66" t="s">
        <v>174</v>
      </c>
      <c r="U64" s="66" t="s">
        <v>53</v>
      </c>
      <c r="V64" s="67">
        <v>0</v>
      </c>
      <c r="W64" s="67" t="s">
        <v>52</v>
      </c>
      <c r="X64" s="68">
        <v>41841.640682870369</v>
      </c>
      <c r="Y64" s="68">
        <v>41841.641817129632</v>
      </c>
      <c r="Z64" s="67">
        <v>0</v>
      </c>
      <c r="AA64" s="67">
        <f>IFERROR(IF(OR(C64&lt;&gt;C63,ABS(TEXT(Tabla_ss2p_pedidos[[#This Row],[fecha_solicitud]],"d")-TEXT(Tabla_ss2p_pedidos[[#This Row],[fecha_solicitud]],"d"))&gt;=1),1,AA63+1),1)</f>
        <v>8</v>
      </c>
      <c r="AB6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811201421821072014</v>
      </c>
    </row>
    <row r="65" spans="1:28" x14ac:dyDescent="0.25">
      <c r="A65" s="21">
        <v>4076</v>
      </c>
      <c r="B65" s="21">
        <v>492435</v>
      </c>
      <c r="C65" s="21">
        <v>218</v>
      </c>
      <c r="D65" s="21">
        <v>1</v>
      </c>
      <c r="E65" s="21">
        <v>11</v>
      </c>
      <c r="F65" s="21">
        <v>2014</v>
      </c>
      <c r="G65" s="21" t="s">
        <v>373</v>
      </c>
      <c r="H65" s="21" t="s">
        <v>374</v>
      </c>
      <c r="I65" s="21" t="s">
        <v>52</v>
      </c>
      <c r="J65" s="21" t="s">
        <v>52</v>
      </c>
      <c r="K65" s="21">
        <v>10</v>
      </c>
      <c r="L65" s="21">
        <v>188.83</v>
      </c>
      <c r="M65" s="21" t="s">
        <v>56</v>
      </c>
      <c r="N65" s="21">
        <v>0</v>
      </c>
      <c r="O65" s="21">
        <v>1</v>
      </c>
      <c r="P65" s="21">
        <v>0</v>
      </c>
      <c r="Q65" s="21" t="s">
        <v>52</v>
      </c>
      <c r="R65" s="66">
        <v>41835.335057870368</v>
      </c>
      <c r="S65" s="66" t="s">
        <v>372</v>
      </c>
      <c r="T65" s="66" t="s">
        <v>174</v>
      </c>
      <c r="U65" s="66" t="s">
        <v>53</v>
      </c>
      <c r="V65" s="67">
        <v>0</v>
      </c>
      <c r="W65" s="67" t="s">
        <v>52</v>
      </c>
      <c r="X65" s="68">
        <v>41841.640844907408</v>
      </c>
      <c r="Y65" s="68">
        <v>41841.642048611109</v>
      </c>
      <c r="Z65" s="67">
        <v>0</v>
      </c>
      <c r="AA65" s="67">
        <f>IFERROR(IF(OR(C65&lt;&gt;C64,ABS(TEXT(Tabla_ss2p_pedidos[[#This Row],[fecha_solicitud]],"d")-TEXT(Tabla_ss2p_pedidos[[#This Row],[fecha_solicitud]],"d"))&gt;=1),1,AA64+1),1)</f>
        <v>9</v>
      </c>
      <c r="AB6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911201421821072014</v>
      </c>
    </row>
    <row r="66" spans="1:28" x14ac:dyDescent="0.25">
      <c r="A66" s="21">
        <v>4521</v>
      </c>
      <c r="B66" s="21">
        <v>445243</v>
      </c>
      <c r="C66" s="21">
        <v>220</v>
      </c>
      <c r="D66" s="21">
        <v>7</v>
      </c>
      <c r="E66" s="21">
        <v>11</v>
      </c>
      <c r="F66" s="21">
        <v>2014</v>
      </c>
      <c r="G66" s="21" t="s">
        <v>382</v>
      </c>
      <c r="H66" s="21" t="s">
        <v>383</v>
      </c>
      <c r="I66" s="21" t="s">
        <v>384</v>
      </c>
      <c r="J66" s="21" t="s">
        <v>52</v>
      </c>
      <c r="K66" s="21">
        <v>34</v>
      </c>
      <c r="L66" s="21">
        <v>59.87</v>
      </c>
      <c r="M66" s="21" t="s">
        <v>54</v>
      </c>
      <c r="N66" s="21">
        <v>0</v>
      </c>
      <c r="O66" s="21">
        <v>1</v>
      </c>
      <c r="P66" s="21">
        <v>0</v>
      </c>
      <c r="Q66" s="21" t="s">
        <v>52</v>
      </c>
      <c r="R66" s="66">
        <v>41836.510405092595</v>
      </c>
      <c r="S66" s="66" t="s">
        <v>59</v>
      </c>
      <c r="T66" s="66" t="s">
        <v>381</v>
      </c>
      <c r="U66" s="66" t="s">
        <v>53</v>
      </c>
      <c r="V66" s="67">
        <v>0</v>
      </c>
      <c r="W66" s="67" t="s">
        <v>52</v>
      </c>
      <c r="X66" s="68">
        <v>41841.590937499997</v>
      </c>
      <c r="Y66" s="68">
        <v>41841.596215277779</v>
      </c>
      <c r="Z66" s="67">
        <v>0</v>
      </c>
      <c r="AA66" s="67">
        <f>IFERROR(IF(OR(C66&lt;&gt;C65,ABS(TEXT(Tabla_ss2p_pedidos[[#This Row],[fecha_solicitud]],"d")-TEXT(Tabla_ss2p_pedidos[[#This Row],[fecha_solicitud]],"d"))&gt;=1),1,AA65+1),1)</f>
        <v>1</v>
      </c>
      <c r="AB6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111201422021072014</v>
      </c>
    </row>
    <row r="67" spans="1:28" x14ac:dyDescent="0.25">
      <c r="A67" s="21">
        <v>4549</v>
      </c>
      <c r="B67" s="21">
        <v>25071</v>
      </c>
      <c r="C67" s="21">
        <v>220</v>
      </c>
      <c r="D67" s="21">
        <v>99</v>
      </c>
      <c r="E67" s="21">
        <v>11</v>
      </c>
      <c r="F67" s="21">
        <v>2014</v>
      </c>
      <c r="G67" s="21" t="s">
        <v>385</v>
      </c>
      <c r="H67" s="21" t="s">
        <v>386</v>
      </c>
      <c r="I67" s="21" t="s">
        <v>387</v>
      </c>
      <c r="J67" s="21" t="s">
        <v>388</v>
      </c>
      <c r="K67" s="21">
        <v>188</v>
      </c>
      <c r="L67" s="21">
        <v>531.94000000000005</v>
      </c>
      <c r="M67" s="21" t="s">
        <v>58</v>
      </c>
      <c r="N67" s="21">
        <v>0</v>
      </c>
      <c r="O67" s="21">
        <v>3</v>
      </c>
      <c r="P67" s="21">
        <v>0</v>
      </c>
      <c r="Q67" s="21" t="s">
        <v>52</v>
      </c>
      <c r="R67" s="66">
        <v>41836.510416666664</v>
      </c>
      <c r="S67" s="66" t="s">
        <v>59</v>
      </c>
      <c r="T67" s="66" t="s">
        <v>381</v>
      </c>
      <c r="U67" s="66" t="s">
        <v>53</v>
      </c>
      <c r="V67" s="67">
        <v>0</v>
      </c>
      <c r="W67" s="67" t="s">
        <v>52</v>
      </c>
      <c r="X67" s="68">
        <v>41841.59134259259</v>
      </c>
      <c r="Y67" s="68">
        <v>41841.596307870372</v>
      </c>
      <c r="Z67" s="67">
        <v>0</v>
      </c>
      <c r="AA67" s="67">
        <f>IFERROR(IF(OR(C67&lt;&gt;C66,ABS(TEXT(Tabla_ss2p_pedidos[[#This Row],[fecha_solicitud]],"d")-TEXT(Tabla_ss2p_pedidos[[#This Row],[fecha_solicitud]],"d"))&gt;=1),1,AA66+1),1)</f>
        <v>2</v>
      </c>
      <c r="AB6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211201422021072014</v>
      </c>
    </row>
    <row r="68" spans="1:28" x14ac:dyDescent="0.25">
      <c r="A68" s="21">
        <v>4532</v>
      </c>
      <c r="B68" s="21">
        <v>412011</v>
      </c>
      <c r="C68" s="21">
        <v>220</v>
      </c>
      <c r="D68" s="21">
        <v>12</v>
      </c>
      <c r="E68" s="21">
        <v>11</v>
      </c>
      <c r="F68" s="21">
        <v>2014</v>
      </c>
      <c r="G68" s="21" t="s">
        <v>378</v>
      </c>
      <c r="H68" s="21" t="s">
        <v>379</v>
      </c>
      <c r="I68" s="21" t="s">
        <v>380</v>
      </c>
      <c r="J68" s="21" t="s">
        <v>380</v>
      </c>
      <c r="K68" s="21">
        <v>52</v>
      </c>
      <c r="L68" s="21">
        <v>25.2</v>
      </c>
      <c r="M68" s="21" t="s">
        <v>54</v>
      </c>
      <c r="N68" s="21">
        <v>7.1920000000000002</v>
      </c>
      <c r="O68" s="21">
        <v>1</v>
      </c>
      <c r="P68" s="21">
        <v>0</v>
      </c>
      <c r="Q68" s="21" t="s">
        <v>52</v>
      </c>
      <c r="R68" s="66">
        <v>41836.510416666664</v>
      </c>
      <c r="S68" s="66" t="s">
        <v>59</v>
      </c>
      <c r="T68" s="66" t="s">
        <v>381</v>
      </c>
      <c r="U68" s="66" t="s">
        <v>53</v>
      </c>
      <c r="V68" s="67">
        <v>0</v>
      </c>
      <c r="W68" s="67" t="s">
        <v>52</v>
      </c>
      <c r="X68" s="68">
        <v>41841.591631944444</v>
      </c>
      <c r="Y68" s="68">
        <v>41841.596041666664</v>
      </c>
      <c r="Z68" s="67">
        <v>0</v>
      </c>
      <c r="AA68" s="67">
        <f>IFERROR(IF(OR(C68&lt;&gt;C67,ABS(TEXT(Tabla_ss2p_pedidos[[#This Row],[fecha_solicitud]],"d")-TEXT(Tabla_ss2p_pedidos[[#This Row],[fecha_solicitud]],"d"))&gt;=1),1,AA67+1),1)</f>
        <v>3</v>
      </c>
      <c r="AB6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311201422021072014</v>
      </c>
    </row>
    <row r="69" spans="1:28" x14ac:dyDescent="0.25">
      <c r="A69" s="21">
        <v>4516</v>
      </c>
      <c r="B69" s="21">
        <v>494593</v>
      </c>
      <c r="C69" s="21">
        <v>220</v>
      </c>
      <c r="D69" s="21">
        <v>5</v>
      </c>
      <c r="E69" s="21">
        <v>11</v>
      </c>
      <c r="F69" s="21">
        <v>2014</v>
      </c>
      <c r="G69" s="21" t="s">
        <v>389</v>
      </c>
      <c r="H69" s="21" t="s">
        <v>390</v>
      </c>
      <c r="I69" s="21" t="s">
        <v>391</v>
      </c>
      <c r="J69" s="21" t="s">
        <v>52</v>
      </c>
      <c r="K69" s="21">
        <v>9</v>
      </c>
      <c r="L69" s="21">
        <v>73.62</v>
      </c>
      <c r="M69" s="21" t="s">
        <v>58</v>
      </c>
      <c r="N69" s="21">
        <v>0</v>
      </c>
      <c r="O69" s="21">
        <v>1</v>
      </c>
      <c r="P69" s="21">
        <v>0</v>
      </c>
      <c r="Q69" s="21" t="s">
        <v>52</v>
      </c>
      <c r="R69" s="66">
        <v>41836.510405092595</v>
      </c>
      <c r="S69" s="66" t="s">
        <v>392</v>
      </c>
      <c r="T69" s="66" t="s">
        <v>393</v>
      </c>
      <c r="U69" s="66" t="s">
        <v>53</v>
      </c>
      <c r="V69" s="67">
        <v>0</v>
      </c>
      <c r="W69" s="67" t="s">
        <v>52</v>
      </c>
      <c r="X69" s="68">
        <v>41841.646064814813</v>
      </c>
      <c r="Y69" s="68">
        <v>41841.648668981485</v>
      </c>
      <c r="Z69" s="67">
        <v>0</v>
      </c>
      <c r="AA69" s="67">
        <f>IFERROR(IF(OR(C69&lt;&gt;C68,ABS(TEXT(Tabla_ss2p_pedidos[[#This Row],[fecha_solicitud]],"d")-TEXT(Tabla_ss2p_pedidos[[#This Row],[fecha_solicitud]],"d"))&gt;=1),1,AA68+1),1)</f>
        <v>4</v>
      </c>
      <c r="AB6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411201422021072014</v>
      </c>
    </row>
    <row r="70" spans="1:28" x14ac:dyDescent="0.25">
      <c r="A70" s="21">
        <v>4515</v>
      </c>
      <c r="B70" s="21">
        <v>490894</v>
      </c>
      <c r="C70" s="21">
        <v>220</v>
      </c>
      <c r="D70" s="21">
        <v>5</v>
      </c>
      <c r="E70" s="21">
        <v>11</v>
      </c>
      <c r="F70" s="21">
        <v>2014</v>
      </c>
      <c r="G70" s="21" t="s">
        <v>394</v>
      </c>
      <c r="H70" s="21" t="s">
        <v>395</v>
      </c>
      <c r="I70" s="21" t="s">
        <v>396</v>
      </c>
      <c r="J70" s="21" t="s">
        <v>52</v>
      </c>
      <c r="K70" s="21">
        <v>10</v>
      </c>
      <c r="L70" s="21">
        <v>37.28</v>
      </c>
      <c r="M70" s="21" t="s">
        <v>54</v>
      </c>
      <c r="N70" s="21">
        <v>0</v>
      </c>
      <c r="O70" s="21">
        <v>1</v>
      </c>
      <c r="P70" s="21">
        <v>0</v>
      </c>
      <c r="Q70" s="21" t="s">
        <v>52</v>
      </c>
      <c r="R70" s="66">
        <v>41836.510405092595</v>
      </c>
      <c r="S70" s="66" t="s">
        <v>392</v>
      </c>
      <c r="T70" s="66" t="s">
        <v>393</v>
      </c>
      <c r="U70" s="66" t="s">
        <v>53</v>
      </c>
      <c r="V70" s="67">
        <v>0</v>
      </c>
      <c r="W70" s="67" t="s">
        <v>52</v>
      </c>
      <c r="X70" s="68">
        <v>41841.646215277775</v>
      </c>
      <c r="Y70" s="68">
        <v>41841.64875</v>
      </c>
      <c r="Z70" s="67">
        <v>0</v>
      </c>
      <c r="AA70" s="67">
        <f>IFERROR(IF(OR(C70&lt;&gt;C69,ABS(TEXT(Tabla_ss2p_pedidos[[#This Row],[fecha_solicitud]],"d")-TEXT(Tabla_ss2p_pedidos[[#This Row],[fecha_solicitud]],"d"))&gt;=1),1,AA69+1),1)</f>
        <v>5</v>
      </c>
      <c r="AB7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511201422021072014</v>
      </c>
    </row>
    <row r="71" spans="1:28" x14ac:dyDescent="0.25">
      <c r="A71" s="21">
        <v>4548</v>
      </c>
      <c r="B71" s="21">
        <v>2170</v>
      </c>
      <c r="C71" s="21">
        <v>220</v>
      </c>
      <c r="D71" s="21">
        <v>99</v>
      </c>
      <c r="E71" s="21">
        <v>11</v>
      </c>
      <c r="F71" s="21">
        <v>2014</v>
      </c>
      <c r="G71" s="21" t="s">
        <v>397</v>
      </c>
      <c r="H71" s="21" t="s">
        <v>398</v>
      </c>
      <c r="I71" s="21" t="s">
        <v>399</v>
      </c>
      <c r="J71" s="21" t="s">
        <v>400</v>
      </c>
      <c r="K71" s="21">
        <v>118</v>
      </c>
      <c r="L71" s="21">
        <v>356.68</v>
      </c>
      <c r="M71" s="21" t="s">
        <v>58</v>
      </c>
      <c r="N71" s="21">
        <v>0</v>
      </c>
      <c r="O71" s="21">
        <v>3</v>
      </c>
      <c r="P71" s="21">
        <v>0</v>
      </c>
      <c r="Q71" s="21" t="s">
        <v>52</v>
      </c>
      <c r="R71" s="66">
        <v>41836.510416666664</v>
      </c>
      <c r="S71" s="66" t="s">
        <v>392</v>
      </c>
      <c r="T71" s="66" t="s">
        <v>393</v>
      </c>
      <c r="U71" s="66" t="s">
        <v>53</v>
      </c>
      <c r="V71" s="67">
        <v>125</v>
      </c>
      <c r="W71" s="67" t="s">
        <v>52</v>
      </c>
      <c r="X71" s="68">
        <v>41841.668796296297</v>
      </c>
      <c r="Y71" s="68">
        <v>41841.67</v>
      </c>
      <c r="Z71" s="67">
        <v>0</v>
      </c>
      <c r="AA71" s="67">
        <f>IFERROR(IF(OR(C71&lt;&gt;C70,ABS(TEXT(Tabla_ss2p_pedidos[[#This Row],[fecha_solicitud]],"d")-TEXT(Tabla_ss2p_pedidos[[#This Row],[fecha_solicitud]],"d"))&gt;=1),1,AA70+1),1)</f>
        <v>6</v>
      </c>
      <c r="AB7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611201422021072014</v>
      </c>
    </row>
    <row r="72" spans="1:28" x14ac:dyDescent="0.25">
      <c r="A72" s="21">
        <v>4935</v>
      </c>
      <c r="B72" s="21">
        <v>383964</v>
      </c>
      <c r="C72" s="21">
        <v>227</v>
      </c>
      <c r="D72" s="21">
        <v>8</v>
      </c>
      <c r="E72" s="21">
        <v>11</v>
      </c>
      <c r="F72" s="21">
        <v>2014</v>
      </c>
      <c r="G72" s="21" t="s">
        <v>103</v>
      </c>
      <c r="H72" s="21" t="s">
        <v>104</v>
      </c>
      <c r="I72" s="21" t="s">
        <v>105</v>
      </c>
      <c r="J72" s="21" t="s">
        <v>106</v>
      </c>
      <c r="K72" s="21">
        <v>64</v>
      </c>
      <c r="L72" s="21">
        <v>25.89</v>
      </c>
      <c r="M72" s="21" t="s">
        <v>58</v>
      </c>
      <c r="N72" s="21">
        <v>0</v>
      </c>
      <c r="O72" s="21">
        <v>1</v>
      </c>
      <c r="P72" s="21">
        <v>0</v>
      </c>
      <c r="Q72" s="21" t="s">
        <v>52</v>
      </c>
      <c r="R72" s="66">
        <v>41837.3596875</v>
      </c>
      <c r="S72" s="66" t="s">
        <v>59</v>
      </c>
      <c r="T72" s="66" t="s">
        <v>55</v>
      </c>
      <c r="U72" s="66" t="s">
        <v>53</v>
      </c>
      <c r="V72" s="67">
        <v>0</v>
      </c>
      <c r="W72" s="67" t="s">
        <v>52</v>
      </c>
      <c r="X72" s="68">
        <v>41841.434467592589</v>
      </c>
      <c r="Y72" s="68">
        <v>41841.439803240741</v>
      </c>
      <c r="Z72" s="67">
        <v>0</v>
      </c>
      <c r="AA72" s="67">
        <f>IFERROR(IF(OR(C72&lt;&gt;C71,ABS(TEXT(Tabla_ss2p_pedidos[[#This Row],[fecha_solicitud]],"d")-TEXT(Tabla_ss2p_pedidos[[#This Row],[fecha_solicitud]],"d"))&gt;=1),1,AA71+1),1)</f>
        <v>1</v>
      </c>
      <c r="AB7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111201422721072014</v>
      </c>
    </row>
    <row r="73" spans="1:28" x14ac:dyDescent="0.25">
      <c r="A73" s="21">
        <v>4933</v>
      </c>
      <c r="B73" s="21">
        <v>500050</v>
      </c>
      <c r="C73" s="21">
        <v>227</v>
      </c>
      <c r="D73" s="21">
        <v>8</v>
      </c>
      <c r="E73" s="21">
        <v>11</v>
      </c>
      <c r="F73" s="21">
        <v>2014</v>
      </c>
      <c r="G73" s="21" t="s">
        <v>100</v>
      </c>
      <c r="H73" s="21" t="s">
        <v>101</v>
      </c>
      <c r="I73" s="21" t="s">
        <v>102</v>
      </c>
      <c r="J73" s="21" t="s">
        <v>102</v>
      </c>
      <c r="K73" s="21">
        <v>6</v>
      </c>
      <c r="L73" s="21">
        <v>97.36</v>
      </c>
      <c r="M73" s="21" t="s">
        <v>87</v>
      </c>
      <c r="N73" s="21">
        <v>0</v>
      </c>
      <c r="O73" s="21">
        <v>1</v>
      </c>
      <c r="P73" s="21">
        <v>0</v>
      </c>
      <c r="Q73" s="21" t="s">
        <v>52</v>
      </c>
      <c r="R73" s="66">
        <v>41837.3596875</v>
      </c>
      <c r="S73" s="66" t="s">
        <v>59</v>
      </c>
      <c r="T73" s="66" t="s">
        <v>55</v>
      </c>
      <c r="U73" s="66" t="s">
        <v>53</v>
      </c>
      <c r="V73" s="67">
        <v>0</v>
      </c>
      <c r="W73" s="67" t="s">
        <v>52</v>
      </c>
      <c r="X73" s="68">
        <v>41841.434687499997</v>
      </c>
      <c r="Y73" s="68">
        <v>41841.439756944441</v>
      </c>
      <c r="Z73" s="67">
        <v>0</v>
      </c>
      <c r="AA73" s="67">
        <f>IFERROR(IF(OR(C73&lt;&gt;C72,ABS(TEXT(Tabla_ss2p_pedidos[[#This Row],[fecha_solicitud]],"d")-TEXT(Tabla_ss2p_pedidos[[#This Row],[fecha_solicitud]],"d"))&gt;=1),1,AA72+1),1)</f>
        <v>2</v>
      </c>
      <c r="AB7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211201422721072014</v>
      </c>
    </row>
    <row r="74" spans="1:28" x14ac:dyDescent="0.25">
      <c r="A74" s="21">
        <v>4931</v>
      </c>
      <c r="B74" s="21">
        <v>501187</v>
      </c>
      <c r="C74" s="21">
        <v>227</v>
      </c>
      <c r="D74" s="21">
        <v>8</v>
      </c>
      <c r="E74" s="21">
        <v>11</v>
      </c>
      <c r="F74" s="21">
        <v>2014</v>
      </c>
      <c r="G74" s="21" t="s">
        <v>97</v>
      </c>
      <c r="H74" s="21" t="s">
        <v>98</v>
      </c>
      <c r="I74" s="21" t="s">
        <v>99</v>
      </c>
      <c r="J74" s="21" t="s">
        <v>52</v>
      </c>
      <c r="K74" s="21">
        <v>5</v>
      </c>
      <c r="L74" s="21">
        <v>98.61</v>
      </c>
      <c r="M74" s="21" t="s">
        <v>54</v>
      </c>
      <c r="N74" s="21">
        <v>0</v>
      </c>
      <c r="O74" s="21">
        <v>1</v>
      </c>
      <c r="P74" s="21">
        <v>0</v>
      </c>
      <c r="Q74" s="21" t="s">
        <v>52</v>
      </c>
      <c r="R74" s="66">
        <v>41837.3596875</v>
      </c>
      <c r="S74" s="66" t="s">
        <v>59</v>
      </c>
      <c r="T74" s="66" t="s">
        <v>55</v>
      </c>
      <c r="U74" s="66" t="s">
        <v>53</v>
      </c>
      <c r="V74" s="67">
        <v>0</v>
      </c>
      <c r="W74" s="67" t="s">
        <v>52</v>
      </c>
      <c r="X74" s="68">
        <v>41841.434837962966</v>
      </c>
      <c r="Y74" s="68">
        <v>41841.439710648148</v>
      </c>
      <c r="Z74" s="67">
        <v>0</v>
      </c>
      <c r="AA74" s="67">
        <f>IFERROR(IF(OR(C74&lt;&gt;C73,ABS(TEXT(Tabla_ss2p_pedidos[[#This Row],[fecha_solicitud]],"d")-TEXT(Tabla_ss2p_pedidos[[#This Row],[fecha_solicitud]],"d"))&gt;=1),1,AA73+1),1)</f>
        <v>3</v>
      </c>
      <c r="AB7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311201422721072014</v>
      </c>
    </row>
    <row r="75" spans="1:28" x14ac:dyDescent="0.25">
      <c r="A75" s="21">
        <v>4927</v>
      </c>
      <c r="B75" s="21">
        <v>503416</v>
      </c>
      <c r="C75" s="21">
        <v>227</v>
      </c>
      <c r="D75" s="21">
        <v>8</v>
      </c>
      <c r="E75" s="21">
        <v>11</v>
      </c>
      <c r="F75" s="21">
        <v>2014</v>
      </c>
      <c r="G75" s="21" t="s">
        <v>94</v>
      </c>
      <c r="H75" s="21" t="s">
        <v>95</v>
      </c>
      <c r="I75" s="21" t="s">
        <v>96</v>
      </c>
      <c r="J75" s="21" t="s">
        <v>52</v>
      </c>
      <c r="K75" s="21">
        <v>4</v>
      </c>
      <c r="L75" s="21">
        <v>46.03</v>
      </c>
      <c r="M75" s="21" t="s">
        <v>54</v>
      </c>
      <c r="N75" s="21">
        <v>0</v>
      </c>
      <c r="O75" s="21">
        <v>1</v>
      </c>
      <c r="P75" s="21">
        <v>0</v>
      </c>
      <c r="Q75" s="21" t="s">
        <v>52</v>
      </c>
      <c r="R75" s="66">
        <v>41837.3596875</v>
      </c>
      <c r="S75" s="66" t="s">
        <v>59</v>
      </c>
      <c r="T75" s="66" t="s">
        <v>55</v>
      </c>
      <c r="U75" s="66" t="s">
        <v>53</v>
      </c>
      <c r="V75" s="67">
        <v>0</v>
      </c>
      <c r="W75" s="67" t="s">
        <v>52</v>
      </c>
      <c r="X75" s="68">
        <v>41841.434953703705</v>
      </c>
      <c r="Y75" s="68">
        <v>41841.439664351848</v>
      </c>
      <c r="Z75" s="67">
        <v>0</v>
      </c>
      <c r="AA75" s="67">
        <f>IFERROR(IF(OR(C75&lt;&gt;C74,ABS(TEXT(Tabla_ss2p_pedidos[[#This Row],[fecha_solicitud]],"d")-TEXT(Tabla_ss2p_pedidos[[#This Row],[fecha_solicitud]],"d"))&gt;=1),1,AA74+1),1)</f>
        <v>4</v>
      </c>
      <c r="AB7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411201422721072014</v>
      </c>
    </row>
    <row r="76" spans="1:28" x14ac:dyDescent="0.25">
      <c r="A76" s="21">
        <v>4928</v>
      </c>
      <c r="B76" s="21">
        <v>4305</v>
      </c>
      <c r="C76" s="21">
        <v>227</v>
      </c>
      <c r="D76" s="21">
        <v>8</v>
      </c>
      <c r="E76" s="21">
        <v>11</v>
      </c>
      <c r="F76" s="21">
        <v>2014</v>
      </c>
      <c r="G76" s="21" t="s">
        <v>91</v>
      </c>
      <c r="H76" s="21" t="s">
        <v>92</v>
      </c>
      <c r="I76" s="21" t="s">
        <v>93</v>
      </c>
      <c r="J76" s="21" t="s">
        <v>93</v>
      </c>
      <c r="K76" s="21">
        <v>86</v>
      </c>
      <c r="L76" s="21">
        <v>48.65</v>
      </c>
      <c r="M76" s="21" t="s">
        <v>54</v>
      </c>
      <c r="N76" s="21">
        <v>0</v>
      </c>
      <c r="O76" s="21">
        <v>1</v>
      </c>
      <c r="P76" s="21">
        <v>0</v>
      </c>
      <c r="Q76" s="21" t="s">
        <v>52</v>
      </c>
      <c r="R76" s="66">
        <v>41837.3596875</v>
      </c>
      <c r="S76" s="66" t="s">
        <v>59</v>
      </c>
      <c r="T76" s="66" t="s">
        <v>55</v>
      </c>
      <c r="U76" s="66" t="s">
        <v>53</v>
      </c>
      <c r="V76" s="67">
        <v>0</v>
      </c>
      <c r="W76" s="67" t="s">
        <v>52</v>
      </c>
      <c r="X76" s="68">
        <v>41841.435057870367</v>
      </c>
      <c r="Y76" s="68">
        <v>41841.439618055556</v>
      </c>
      <c r="Z76" s="67">
        <v>0</v>
      </c>
      <c r="AA76" s="67">
        <f>IFERROR(IF(OR(C76&lt;&gt;C75,ABS(TEXT(Tabla_ss2p_pedidos[[#This Row],[fecha_solicitud]],"d")-TEXT(Tabla_ss2p_pedidos[[#This Row],[fecha_solicitud]],"d"))&gt;=1),1,AA75+1),1)</f>
        <v>5</v>
      </c>
      <c r="AB7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511201422721072014</v>
      </c>
    </row>
    <row r="77" spans="1:28" x14ac:dyDescent="0.25">
      <c r="A77" s="21">
        <v>4923</v>
      </c>
      <c r="B77" s="21">
        <v>499977</v>
      </c>
      <c r="C77" s="21">
        <v>227</v>
      </c>
      <c r="D77" s="21">
        <v>8</v>
      </c>
      <c r="E77" s="21">
        <v>11</v>
      </c>
      <c r="F77" s="21">
        <v>2014</v>
      </c>
      <c r="G77" s="21" t="s">
        <v>88</v>
      </c>
      <c r="H77" s="21" t="s">
        <v>89</v>
      </c>
      <c r="I77" s="21" t="s">
        <v>90</v>
      </c>
      <c r="J77" s="21" t="s">
        <v>90</v>
      </c>
      <c r="K77" s="21">
        <v>6</v>
      </c>
      <c r="L77" s="21">
        <v>45.21</v>
      </c>
      <c r="M77" s="21" t="s">
        <v>54</v>
      </c>
      <c r="N77" s="21">
        <v>0</v>
      </c>
      <c r="O77" s="21">
        <v>1</v>
      </c>
      <c r="P77" s="21">
        <v>0</v>
      </c>
      <c r="Q77" s="21" t="s">
        <v>52</v>
      </c>
      <c r="R77" s="66">
        <v>41837.3596875</v>
      </c>
      <c r="S77" s="66" t="s">
        <v>59</v>
      </c>
      <c r="T77" s="66" t="s">
        <v>55</v>
      </c>
      <c r="U77" s="66" t="s">
        <v>53</v>
      </c>
      <c r="V77" s="67">
        <v>0</v>
      </c>
      <c r="W77" s="67" t="s">
        <v>52</v>
      </c>
      <c r="X77" s="68">
        <v>41841.435162037036</v>
      </c>
      <c r="Y77" s="68">
        <v>41841.439571759256</v>
      </c>
      <c r="Z77" s="67">
        <v>0</v>
      </c>
      <c r="AA77" s="67">
        <f>IFERROR(IF(OR(C77&lt;&gt;C76,ABS(TEXT(Tabla_ss2p_pedidos[[#This Row],[fecha_solicitud]],"d")-TEXT(Tabla_ss2p_pedidos[[#This Row],[fecha_solicitud]],"d"))&gt;=1),1,AA76+1),1)</f>
        <v>6</v>
      </c>
      <c r="AB7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611201422721072014</v>
      </c>
    </row>
    <row r="78" spans="1:28" x14ac:dyDescent="0.25">
      <c r="A78" s="21">
        <v>4932</v>
      </c>
      <c r="B78" s="21">
        <v>371378</v>
      </c>
      <c r="C78" s="21">
        <v>227</v>
      </c>
      <c r="D78" s="21">
        <v>8</v>
      </c>
      <c r="E78" s="21">
        <v>11</v>
      </c>
      <c r="F78" s="21">
        <v>2014</v>
      </c>
      <c r="G78" s="21" t="s">
        <v>83</v>
      </c>
      <c r="H78" s="21" t="s">
        <v>84</v>
      </c>
      <c r="I78" s="21" t="s">
        <v>85</v>
      </c>
      <c r="J78" s="21" t="s">
        <v>86</v>
      </c>
      <c r="K78" s="21">
        <v>53</v>
      </c>
      <c r="L78" s="21">
        <v>61.41</v>
      </c>
      <c r="M78" s="21" t="s">
        <v>87</v>
      </c>
      <c r="N78" s="21">
        <v>0</v>
      </c>
      <c r="O78" s="21">
        <v>1</v>
      </c>
      <c r="P78" s="21">
        <v>0</v>
      </c>
      <c r="Q78" s="21" t="s">
        <v>52</v>
      </c>
      <c r="R78" s="66">
        <v>41837.3596875</v>
      </c>
      <c r="S78" s="66" t="s">
        <v>59</v>
      </c>
      <c r="T78" s="66" t="s">
        <v>55</v>
      </c>
      <c r="U78" s="66" t="s">
        <v>53</v>
      </c>
      <c r="V78" s="67">
        <v>0</v>
      </c>
      <c r="W78" s="67" t="s">
        <v>52</v>
      </c>
      <c r="X78" s="68">
        <v>41841.435300925928</v>
      </c>
      <c r="Y78" s="68">
        <v>41841.438576388886</v>
      </c>
      <c r="Z78" s="67">
        <v>0</v>
      </c>
      <c r="AA78" s="67">
        <f>IFERROR(IF(OR(C78&lt;&gt;C77,ABS(TEXT(Tabla_ss2p_pedidos[[#This Row],[fecha_solicitud]],"d")-TEXT(Tabla_ss2p_pedidos[[#This Row],[fecha_solicitud]],"d"))&gt;=1),1,AA77+1),1)</f>
        <v>7</v>
      </c>
      <c r="AB7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711201422721072014</v>
      </c>
    </row>
    <row r="79" spans="1:28" x14ac:dyDescent="0.25">
      <c r="A79" s="21">
        <v>4970</v>
      </c>
      <c r="B79" s="21">
        <v>12074</v>
      </c>
      <c r="C79" s="21">
        <v>227</v>
      </c>
      <c r="D79" s="21">
        <v>13</v>
      </c>
      <c r="E79" s="21">
        <v>11</v>
      </c>
      <c r="F79" s="21">
        <v>2014</v>
      </c>
      <c r="G79" s="21" t="s">
        <v>107</v>
      </c>
      <c r="H79" s="21" t="s">
        <v>108</v>
      </c>
      <c r="I79" s="21" t="s">
        <v>109</v>
      </c>
      <c r="J79" s="21" t="s">
        <v>52</v>
      </c>
      <c r="K79" s="21">
        <v>138</v>
      </c>
      <c r="L79" s="21">
        <v>57.63</v>
      </c>
      <c r="M79" s="21" t="s">
        <v>54</v>
      </c>
      <c r="N79" s="21">
        <v>0</v>
      </c>
      <c r="O79" s="21">
        <v>1</v>
      </c>
      <c r="P79" s="21">
        <v>0</v>
      </c>
      <c r="Q79" s="21" t="s">
        <v>52</v>
      </c>
      <c r="R79" s="66">
        <v>41837.359699074077</v>
      </c>
      <c r="S79" s="66" t="s">
        <v>59</v>
      </c>
      <c r="T79" s="66" t="s">
        <v>55</v>
      </c>
      <c r="U79" s="66" t="s">
        <v>53</v>
      </c>
      <c r="V79" s="67">
        <v>0</v>
      </c>
      <c r="W79" s="67" t="s">
        <v>52</v>
      </c>
      <c r="X79" s="68">
        <v>41841.436145833337</v>
      </c>
      <c r="Y79" s="68">
        <v>41841.453043981484</v>
      </c>
      <c r="Z79" s="67">
        <v>0</v>
      </c>
      <c r="AA79" s="67">
        <f>IFERROR(IF(OR(C79&lt;&gt;C78,ABS(TEXT(Tabla_ss2p_pedidos[[#This Row],[fecha_solicitud]],"d")-TEXT(Tabla_ss2p_pedidos[[#This Row],[fecha_solicitud]],"d"))&gt;=1),1,AA78+1),1)</f>
        <v>8</v>
      </c>
      <c r="AB7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811201422721072014</v>
      </c>
    </row>
    <row r="80" spans="1:28" x14ac:dyDescent="0.25">
      <c r="A80" s="21">
        <v>4988</v>
      </c>
      <c r="B80" s="21">
        <v>505197</v>
      </c>
      <c r="C80" s="21">
        <v>227</v>
      </c>
      <c r="D80" s="21">
        <v>17</v>
      </c>
      <c r="E80" s="21">
        <v>11</v>
      </c>
      <c r="F80" s="21">
        <v>2014</v>
      </c>
      <c r="G80" s="21" t="s">
        <v>401</v>
      </c>
      <c r="H80" s="21" t="s">
        <v>402</v>
      </c>
      <c r="I80" s="21" t="s">
        <v>403</v>
      </c>
      <c r="J80" s="21" t="s">
        <v>404</v>
      </c>
      <c r="K80" s="21">
        <v>3</v>
      </c>
      <c r="L80" s="21">
        <v>53.42</v>
      </c>
      <c r="M80" s="21" t="s">
        <v>56</v>
      </c>
      <c r="N80" s="21">
        <v>0</v>
      </c>
      <c r="O80" s="21">
        <v>1</v>
      </c>
      <c r="P80" s="21">
        <v>0</v>
      </c>
      <c r="Q80" s="21" t="s">
        <v>52</v>
      </c>
      <c r="R80" s="66">
        <v>41837.359710648147</v>
      </c>
      <c r="S80" s="66" t="s">
        <v>59</v>
      </c>
      <c r="T80" s="66" t="s">
        <v>55</v>
      </c>
      <c r="U80" s="66" t="s">
        <v>53</v>
      </c>
      <c r="V80" s="67">
        <v>0</v>
      </c>
      <c r="W80" s="67" t="s">
        <v>52</v>
      </c>
      <c r="X80" s="68">
        <v>41841.596018518518</v>
      </c>
      <c r="Y80" s="68">
        <v>41841.603761574072</v>
      </c>
      <c r="Z80" s="67">
        <v>0</v>
      </c>
      <c r="AA80" s="67">
        <f>IFERROR(IF(OR(C80&lt;&gt;C79,ABS(TEXT(Tabla_ss2p_pedidos[[#This Row],[fecha_solicitud]],"d")-TEXT(Tabla_ss2p_pedidos[[#This Row],[fecha_solicitud]],"d"))&gt;=1),1,AA79+1),1)</f>
        <v>9</v>
      </c>
      <c r="AB8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911201422721072014</v>
      </c>
    </row>
    <row r="81" spans="1:28" x14ac:dyDescent="0.25">
      <c r="A81" s="21">
        <v>4997</v>
      </c>
      <c r="B81" s="21">
        <v>479481</v>
      </c>
      <c r="C81" s="21">
        <v>227</v>
      </c>
      <c r="D81" s="21">
        <v>19</v>
      </c>
      <c r="E81" s="21">
        <v>11</v>
      </c>
      <c r="F81" s="21">
        <v>2014</v>
      </c>
      <c r="G81" s="21" t="s">
        <v>405</v>
      </c>
      <c r="H81" s="21" t="s">
        <v>406</v>
      </c>
      <c r="I81" s="21" t="s">
        <v>407</v>
      </c>
      <c r="J81" s="21" t="s">
        <v>52</v>
      </c>
      <c r="K81" s="21">
        <v>12</v>
      </c>
      <c r="L81" s="21">
        <v>74.86</v>
      </c>
      <c r="M81" s="21" t="s">
        <v>54</v>
      </c>
      <c r="N81" s="21">
        <v>0</v>
      </c>
      <c r="O81" s="21">
        <v>3</v>
      </c>
      <c r="P81" s="21">
        <v>0</v>
      </c>
      <c r="Q81" s="21" t="s">
        <v>52</v>
      </c>
      <c r="R81" s="66">
        <v>41837.359710648147</v>
      </c>
      <c r="S81" s="66" t="s">
        <v>408</v>
      </c>
      <c r="T81" s="66" t="s">
        <v>55</v>
      </c>
      <c r="U81" s="66" t="s">
        <v>53</v>
      </c>
      <c r="V81" s="67">
        <v>0</v>
      </c>
      <c r="W81" s="67" t="s">
        <v>52</v>
      </c>
      <c r="X81" s="68">
        <v>41841.613506944443</v>
      </c>
      <c r="Y81" s="68">
        <v>41841.616064814814</v>
      </c>
      <c r="Z81" s="67">
        <v>0</v>
      </c>
      <c r="AA81" s="67">
        <f>IFERROR(IF(OR(C81&lt;&gt;C80,ABS(TEXT(Tabla_ss2p_pedidos[[#This Row],[fecha_solicitud]],"d")-TEXT(Tabla_ss2p_pedidos[[#This Row],[fecha_solicitud]],"d"))&gt;=1),1,AA80+1),1)</f>
        <v>10</v>
      </c>
      <c r="AB8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1011201422721072014</v>
      </c>
    </row>
    <row r="82" spans="1:28" x14ac:dyDescent="0.25">
      <c r="A82" s="21">
        <v>4972</v>
      </c>
      <c r="B82" s="21">
        <v>454926</v>
      </c>
      <c r="C82" s="21">
        <v>227</v>
      </c>
      <c r="D82" s="21">
        <v>14</v>
      </c>
      <c r="E82" s="21">
        <v>11</v>
      </c>
      <c r="F82" s="21">
        <v>2014</v>
      </c>
      <c r="G82" s="21" t="s">
        <v>409</v>
      </c>
      <c r="H82" s="21" t="s">
        <v>410</v>
      </c>
      <c r="I82" s="21" t="s">
        <v>411</v>
      </c>
      <c r="J82" s="21" t="s">
        <v>411</v>
      </c>
      <c r="K82" s="21">
        <v>29</v>
      </c>
      <c r="L82" s="21">
        <v>131.71</v>
      </c>
      <c r="M82" s="21" t="s">
        <v>54</v>
      </c>
      <c r="N82" s="21">
        <v>0</v>
      </c>
      <c r="O82" s="21">
        <v>1</v>
      </c>
      <c r="P82" s="21">
        <v>0</v>
      </c>
      <c r="Q82" s="21" t="s">
        <v>52</v>
      </c>
      <c r="R82" s="66">
        <v>41837.359699074077</v>
      </c>
      <c r="S82" s="66" t="s">
        <v>412</v>
      </c>
      <c r="T82" s="66" t="s">
        <v>55</v>
      </c>
      <c r="U82" s="66" t="s">
        <v>53</v>
      </c>
      <c r="V82" s="67">
        <v>0</v>
      </c>
      <c r="W82" s="67" t="s">
        <v>52</v>
      </c>
      <c r="X82" s="68">
        <v>41841.615057870367</v>
      </c>
      <c r="Y82" s="68">
        <v>41841.616527777776</v>
      </c>
      <c r="Z82" s="67">
        <v>0</v>
      </c>
      <c r="AA82" s="67">
        <f>IFERROR(IF(OR(C82&lt;&gt;C81,ABS(TEXT(Tabla_ss2p_pedidos[[#This Row],[fecha_solicitud]],"d")-TEXT(Tabla_ss2p_pedidos[[#This Row],[fecha_solicitud]],"d"))&gt;=1),1,AA81+1),1)</f>
        <v>11</v>
      </c>
      <c r="AB8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1111201422721072014</v>
      </c>
    </row>
    <row r="83" spans="1:28" x14ac:dyDescent="0.25">
      <c r="A83" s="21">
        <v>4954</v>
      </c>
      <c r="B83" s="21">
        <v>39168</v>
      </c>
      <c r="C83" s="21">
        <v>227</v>
      </c>
      <c r="D83" s="21">
        <v>11</v>
      </c>
      <c r="E83" s="21">
        <v>11</v>
      </c>
      <c r="F83" s="21">
        <v>2014</v>
      </c>
      <c r="G83" s="21" t="s">
        <v>413</v>
      </c>
      <c r="H83" s="21" t="s">
        <v>414</v>
      </c>
      <c r="I83" s="21" t="s">
        <v>415</v>
      </c>
      <c r="J83" s="21" t="s">
        <v>415</v>
      </c>
      <c r="K83" s="21">
        <v>68</v>
      </c>
      <c r="L83" s="21">
        <v>185.72</v>
      </c>
      <c r="M83" s="21" t="s">
        <v>54</v>
      </c>
      <c r="N83" s="21">
        <v>0</v>
      </c>
      <c r="O83" s="21">
        <v>2</v>
      </c>
      <c r="P83" s="21">
        <v>0</v>
      </c>
      <c r="Q83" s="21" t="s">
        <v>52</v>
      </c>
      <c r="R83" s="66">
        <v>41837.359699074077</v>
      </c>
      <c r="S83" s="66" t="s">
        <v>416</v>
      </c>
      <c r="T83" s="66" t="s">
        <v>55</v>
      </c>
      <c r="U83" s="66" t="s">
        <v>53</v>
      </c>
      <c r="V83" s="67">
        <v>0</v>
      </c>
      <c r="W83" s="67" t="s">
        <v>52</v>
      </c>
      <c r="X83" s="68">
        <v>41841.631631944445</v>
      </c>
      <c r="Y83" s="68">
        <v>41841.634328703702</v>
      </c>
      <c r="Z83" s="67">
        <v>0</v>
      </c>
      <c r="AA83" s="67">
        <f>IFERROR(IF(OR(C83&lt;&gt;C82,ABS(TEXT(Tabla_ss2p_pedidos[[#This Row],[fecha_solicitud]],"d")-TEXT(Tabla_ss2p_pedidos[[#This Row],[fecha_solicitud]],"d"))&gt;=1),1,AA82+1),1)</f>
        <v>12</v>
      </c>
      <c r="AB8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1211201422721072014</v>
      </c>
    </row>
    <row r="84" spans="1:28" x14ac:dyDescent="0.25">
      <c r="A84" s="21">
        <v>4947</v>
      </c>
      <c r="B84" s="21">
        <v>416260</v>
      </c>
      <c r="C84" s="21">
        <v>227</v>
      </c>
      <c r="D84" s="21">
        <v>8</v>
      </c>
      <c r="E84" s="21">
        <v>11</v>
      </c>
      <c r="F84" s="21">
        <v>2014</v>
      </c>
      <c r="G84" s="21" t="s">
        <v>417</v>
      </c>
      <c r="H84" s="21" t="s">
        <v>418</v>
      </c>
      <c r="I84" s="21" t="s">
        <v>419</v>
      </c>
      <c r="J84" s="21" t="s">
        <v>419</v>
      </c>
      <c r="K84" s="21">
        <v>50</v>
      </c>
      <c r="L84" s="21">
        <v>51.28</v>
      </c>
      <c r="M84" s="21" t="s">
        <v>56</v>
      </c>
      <c r="N84" s="21">
        <v>0</v>
      </c>
      <c r="O84" s="21">
        <v>1</v>
      </c>
      <c r="P84" s="21">
        <v>0</v>
      </c>
      <c r="Q84" s="21" t="s">
        <v>52</v>
      </c>
      <c r="R84" s="66">
        <v>41837.3596875</v>
      </c>
      <c r="S84" s="66" t="s">
        <v>420</v>
      </c>
      <c r="T84" s="66" t="s">
        <v>55</v>
      </c>
      <c r="U84" s="66" t="s">
        <v>53</v>
      </c>
      <c r="V84" s="67">
        <v>0</v>
      </c>
      <c r="W84" s="67" t="s">
        <v>52</v>
      </c>
      <c r="X84" s="68">
        <v>41841.64638888889</v>
      </c>
      <c r="Y84" s="68">
        <v>41841.64880787037</v>
      </c>
      <c r="Z84" s="67">
        <v>0</v>
      </c>
      <c r="AA84" s="67">
        <f>IFERROR(IF(OR(C84&lt;&gt;C83,ABS(TEXT(Tabla_ss2p_pedidos[[#This Row],[fecha_solicitud]],"d")-TEXT(Tabla_ss2p_pedidos[[#This Row],[fecha_solicitud]],"d"))&gt;=1),1,AA83+1),1)</f>
        <v>13</v>
      </c>
      <c r="AB8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1311201422721072014</v>
      </c>
    </row>
    <row r="85" spans="1:28" x14ac:dyDescent="0.25">
      <c r="A85" s="21">
        <v>4942</v>
      </c>
      <c r="B85" s="21">
        <v>446931</v>
      </c>
      <c r="C85" s="21">
        <v>227</v>
      </c>
      <c r="D85" s="21">
        <v>8</v>
      </c>
      <c r="E85" s="21">
        <v>11</v>
      </c>
      <c r="F85" s="21">
        <v>2014</v>
      </c>
      <c r="G85" s="21" t="s">
        <v>421</v>
      </c>
      <c r="H85" s="21" t="s">
        <v>422</v>
      </c>
      <c r="I85" s="21" t="s">
        <v>423</v>
      </c>
      <c r="J85" s="21" t="s">
        <v>423</v>
      </c>
      <c r="K85" s="21">
        <v>21</v>
      </c>
      <c r="L85" s="21">
        <v>56.97</v>
      </c>
      <c r="M85" s="21" t="s">
        <v>134</v>
      </c>
      <c r="N85" s="21">
        <v>0</v>
      </c>
      <c r="O85" s="21">
        <v>1</v>
      </c>
      <c r="P85" s="21">
        <v>0</v>
      </c>
      <c r="Q85" s="21" t="s">
        <v>52</v>
      </c>
      <c r="R85" s="66">
        <v>41837.3596875</v>
      </c>
      <c r="S85" s="66" t="s">
        <v>420</v>
      </c>
      <c r="T85" s="66" t="s">
        <v>55</v>
      </c>
      <c r="U85" s="66" t="s">
        <v>53</v>
      </c>
      <c r="V85" s="67">
        <v>0</v>
      </c>
      <c r="W85" s="67" t="s">
        <v>52</v>
      </c>
      <c r="X85" s="68">
        <v>41841.646527777775</v>
      </c>
      <c r="Y85" s="68">
        <v>41841.648877314816</v>
      </c>
      <c r="Z85" s="67">
        <v>0</v>
      </c>
      <c r="AA85" s="67">
        <f>IFERROR(IF(OR(C85&lt;&gt;C84,ABS(TEXT(Tabla_ss2p_pedidos[[#This Row],[fecha_solicitud]],"d")-TEXT(Tabla_ss2p_pedidos[[#This Row],[fecha_solicitud]],"d"))&gt;=1),1,AA84+1),1)</f>
        <v>14</v>
      </c>
      <c r="AB8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1411201422721072014</v>
      </c>
    </row>
    <row r="86" spans="1:28" x14ac:dyDescent="0.25">
      <c r="A86" s="21">
        <v>4916</v>
      </c>
      <c r="B86" s="21">
        <v>410596</v>
      </c>
      <c r="C86" s="21">
        <v>227</v>
      </c>
      <c r="D86" s="21">
        <v>6</v>
      </c>
      <c r="E86" s="21">
        <v>11</v>
      </c>
      <c r="F86" s="21">
        <v>2014</v>
      </c>
      <c r="G86" s="21" t="s">
        <v>424</v>
      </c>
      <c r="H86" s="21" t="s">
        <v>425</v>
      </c>
      <c r="I86" s="21" t="s">
        <v>426</v>
      </c>
      <c r="J86" s="21" t="s">
        <v>426</v>
      </c>
      <c r="K86" s="21">
        <v>39</v>
      </c>
      <c r="L86" s="21">
        <v>91.68</v>
      </c>
      <c r="M86" s="21" t="s">
        <v>58</v>
      </c>
      <c r="N86" s="21">
        <v>0</v>
      </c>
      <c r="O86" s="21">
        <v>1</v>
      </c>
      <c r="P86" s="21">
        <v>0</v>
      </c>
      <c r="Q86" s="21" t="s">
        <v>52</v>
      </c>
      <c r="R86" s="66">
        <v>41837.359675925924</v>
      </c>
      <c r="S86" s="66" t="s">
        <v>59</v>
      </c>
      <c r="T86" s="66" t="s">
        <v>55</v>
      </c>
      <c r="U86" s="66" t="s">
        <v>53</v>
      </c>
      <c r="V86" s="67">
        <v>0</v>
      </c>
      <c r="W86" s="67" t="s">
        <v>52</v>
      </c>
      <c r="X86" s="68">
        <v>41841.664375</v>
      </c>
      <c r="Y86" s="68">
        <v>41841.666481481479</v>
      </c>
      <c r="Z86" s="67">
        <v>0</v>
      </c>
      <c r="AA86" s="67">
        <f>IFERROR(IF(OR(C86&lt;&gt;C85,ABS(TEXT(Tabla_ss2p_pedidos[[#This Row],[fecha_solicitud]],"d")-TEXT(Tabla_ss2p_pedidos[[#This Row],[fecha_solicitud]],"d"))&gt;=1),1,AA85+1),1)</f>
        <v>15</v>
      </c>
      <c r="AB8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1511201422721072014</v>
      </c>
    </row>
    <row r="87" spans="1:28" x14ac:dyDescent="0.25">
      <c r="A87" s="21">
        <v>3567</v>
      </c>
      <c r="B87" s="21">
        <v>401660</v>
      </c>
      <c r="C87" s="21">
        <v>228</v>
      </c>
      <c r="D87" s="21">
        <v>4</v>
      </c>
      <c r="E87" s="21">
        <v>11</v>
      </c>
      <c r="F87" s="21">
        <v>2014</v>
      </c>
      <c r="G87" s="21" t="s">
        <v>459</v>
      </c>
      <c r="H87" s="21" t="s">
        <v>460</v>
      </c>
      <c r="I87" s="21" t="s">
        <v>461</v>
      </c>
      <c r="J87" s="21" t="s">
        <v>462</v>
      </c>
      <c r="K87" s="21">
        <v>47</v>
      </c>
      <c r="L87" s="21">
        <v>174.2</v>
      </c>
      <c r="M87" s="21" t="s">
        <v>54</v>
      </c>
      <c r="N87" s="21">
        <v>0</v>
      </c>
      <c r="O87" s="21">
        <v>1</v>
      </c>
      <c r="P87" s="21">
        <v>0</v>
      </c>
      <c r="Q87" s="21" t="s">
        <v>52</v>
      </c>
      <c r="R87" s="66">
        <v>41832.397361111114</v>
      </c>
      <c r="S87" s="66" t="s">
        <v>59</v>
      </c>
      <c r="T87" s="66" t="s">
        <v>463</v>
      </c>
      <c r="U87" s="66" t="s">
        <v>53</v>
      </c>
      <c r="V87" s="67">
        <v>0</v>
      </c>
      <c r="W87" s="67" t="s">
        <v>52</v>
      </c>
      <c r="X87" s="68">
        <v>41835.940462962964</v>
      </c>
      <c r="Y87" s="68">
        <v>41841.774062500001</v>
      </c>
      <c r="Z87" s="67">
        <v>1</v>
      </c>
      <c r="AA87" s="67">
        <f>IFERROR(IF(OR(C87&lt;&gt;C86,ABS(TEXT(Tabla_ss2p_pedidos[[#This Row],[fecha_solicitud]],"d")-TEXT(Tabla_ss2p_pedidos[[#This Row],[fecha_solicitud]],"d"))&gt;=1),1,AA86+1),1)</f>
        <v>1</v>
      </c>
      <c r="AB8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111201422815072014</v>
      </c>
    </row>
    <row r="88" spans="1:28" x14ac:dyDescent="0.25">
      <c r="A88" s="21">
        <v>3604</v>
      </c>
      <c r="B88" s="21">
        <v>390201</v>
      </c>
      <c r="C88" s="21">
        <v>228</v>
      </c>
      <c r="D88" s="21">
        <v>21</v>
      </c>
      <c r="E88" s="21">
        <v>11</v>
      </c>
      <c r="F88" s="21">
        <v>2014</v>
      </c>
      <c r="G88" s="21" t="s">
        <v>464</v>
      </c>
      <c r="H88" s="21" t="s">
        <v>465</v>
      </c>
      <c r="I88" s="21" t="s">
        <v>466</v>
      </c>
      <c r="J88" s="21" t="s">
        <v>467</v>
      </c>
      <c r="K88" s="21">
        <v>52</v>
      </c>
      <c r="L88" s="21">
        <v>108.33</v>
      </c>
      <c r="M88" s="21" t="s">
        <v>54</v>
      </c>
      <c r="N88" s="21">
        <v>0</v>
      </c>
      <c r="O88" s="21">
        <v>1</v>
      </c>
      <c r="P88" s="21">
        <v>0</v>
      </c>
      <c r="Q88" s="21" t="s">
        <v>52</v>
      </c>
      <c r="R88" s="66">
        <v>41832.397372685184</v>
      </c>
      <c r="S88" s="66" t="s">
        <v>468</v>
      </c>
      <c r="T88" s="66" t="s">
        <v>430</v>
      </c>
      <c r="U88" s="66" t="s">
        <v>53</v>
      </c>
      <c r="V88" s="67">
        <v>0</v>
      </c>
      <c r="W88" s="67" t="s">
        <v>52</v>
      </c>
      <c r="X88" s="68">
        <v>41841.569351851853</v>
      </c>
      <c r="Y88" s="68">
        <v>41841.774178240739</v>
      </c>
      <c r="Z88" s="67">
        <v>1</v>
      </c>
      <c r="AA88" s="67">
        <f>IFERROR(IF(OR(C88&lt;&gt;C87,ABS(TEXT(Tabla_ss2p_pedidos[[#This Row],[fecha_solicitud]],"d")-TEXT(Tabla_ss2p_pedidos[[#This Row],[fecha_solicitud]],"d"))&gt;=1),1,AA87+1),1)</f>
        <v>2</v>
      </c>
      <c r="AB8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211201422821072014</v>
      </c>
    </row>
    <row r="89" spans="1:28" x14ac:dyDescent="0.25">
      <c r="A89" s="21">
        <v>3605</v>
      </c>
      <c r="B89" s="21">
        <v>506137</v>
      </c>
      <c r="C89" s="21">
        <v>228</v>
      </c>
      <c r="D89" s="21">
        <v>21</v>
      </c>
      <c r="E89" s="21">
        <v>11</v>
      </c>
      <c r="F89" s="21">
        <v>2014</v>
      </c>
      <c r="G89" s="21" t="s">
        <v>427</v>
      </c>
      <c r="H89" s="21" t="s">
        <v>428</v>
      </c>
      <c r="I89" s="21" t="s">
        <v>429</v>
      </c>
      <c r="J89" s="21" t="s">
        <v>429</v>
      </c>
      <c r="K89" s="21">
        <v>2</v>
      </c>
      <c r="L89" s="21">
        <v>66.599999999999994</v>
      </c>
      <c r="M89" s="21" t="s">
        <v>56</v>
      </c>
      <c r="N89" s="21">
        <v>0</v>
      </c>
      <c r="O89" s="21">
        <v>1</v>
      </c>
      <c r="P89" s="21">
        <v>0</v>
      </c>
      <c r="Q89" s="21" t="s">
        <v>52</v>
      </c>
      <c r="R89" s="66">
        <v>41832.397372685184</v>
      </c>
      <c r="S89" s="66" t="s">
        <v>59</v>
      </c>
      <c r="T89" s="66" t="s">
        <v>430</v>
      </c>
      <c r="U89" s="66" t="s">
        <v>53</v>
      </c>
      <c r="V89" s="67">
        <v>0</v>
      </c>
      <c r="W89" s="67" t="s">
        <v>52</v>
      </c>
      <c r="X89" s="68">
        <v>41841.583113425928</v>
      </c>
      <c r="Y89" s="68">
        <v>41841.585578703707</v>
      </c>
      <c r="Z89" s="67">
        <v>0</v>
      </c>
      <c r="AA89" s="67">
        <f>IFERROR(IF(OR(C89&lt;&gt;C88,ABS(TEXT(Tabla_ss2p_pedidos[[#This Row],[fecha_solicitud]],"d")-TEXT(Tabla_ss2p_pedidos[[#This Row],[fecha_solicitud]],"d"))&gt;=1),1,AA88+1),1)</f>
        <v>3</v>
      </c>
      <c r="AB8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311201422821072014</v>
      </c>
    </row>
    <row r="90" spans="1:28" x14ac:dyDescent="0.25">
      <c r="A90" s="21">
        <v>3570</v>
      </c>
      <c r="B90" s="21">
        <v>502558</v>
      </c>
      <c r="C90" s="21">
        <v>228</v>
      </c>
      <c r="D90" s="21">
        <v>5</v>
      </c>
      <c r="E90" s="21">
        <v>11</v>
      </c>
      <c r="F90" s="21">
        <v>2014</v>
      </c>
      <c r="G90" s="21" t="s">
        <v>431</v>
      </c>
      <c r="H90" s="21" t="s">
        <v>432</v>
      </c>
      <c r="I90" s="21" t="s">
        <v>433</v>
      </c>
      <c r="J90" s="21" t="s">
        <v>52</v>
      </c>
      <c r="K90" s="21">
        <v>4</v>
      </c>
      <c r="L90" s="21">
        <v>88.33</v>
      </c>
      <c r="M90" s="21" t="s">
        <v>56</v>
      </c>
      <c r="N90" s="21">
        <v>0</v>
      </c>
      <c r="O90" s="21">
        <v>2</v>
      </c>
      <c r="P90" s="21">
        <v>0</v>
      </c>
      <c r="Q90" s="21" t="s">
        <v>52</v>
      </c>
      <c r="R90" s="66">
        <v>41832.397361111114</v>
      </c>
      <c r="S90" s="66" t="s">
        <v>59</v>
      </c>
      <c r="T90" s="66" t="s">
        <v>430</v>
      </c>
      <c r="U90" s="66" t="s">
        <v>53</v>
      </c>
      <c r="V90" s="67">
        <v>0</v>
      </c>
      <c r="W90" s="67" t="s">
        <v>52</v>
      </c>
      <c r="X90" s="68">
        <v>41841.583252314813</v>
      </c>
      <c r="Y90" s="68">
        <v>41841.585625</v>
      </c>
      <c r="Z90" s="67">
        <v>0</v>
      </c>
      <c r="AA90" s="67">
        <f>IFERROR(IF(OR(C90&lt;&gt;C89,ABS(TEXT(Tabla_ss2p_pedidos[[#This Row],[fecha_solicitud]],"d")-TEXT(Tabla_ss2p_pedidos[[#This Row],[fecha_solicitud]],"d"))&gt;=1),1,AA89+1),1)</f>
        <v>4</v>
      </c>
      <c r="AB9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411201422821072014</v>
      </c>
    </row>
    <row r="91" spans="1:28" x14ac:dyDescent="0.25">
      <c r="A91" s="21">
        <v>3596</v>
      </c>
      <c r="B91" s="21">
        <v>457330</v>
      </c>
      <c r="C91" s="21">
        <v>228</v>
      </c>
      <c r="D91" s="21">
        <v>15</v>
      </c>
      <c r="E91" s="21">
        <v>11</v>
      </c>
      <c r="F91" s="21">
        <v>2014</v>
      </c>
      <c r="G91" s="21" t="s">
        <v>434</v>
      </c>
      <c r="H91" s="21" t="s">
        <v>435</v>
      </c>
      <c r="I91" s="21" t="s">
        <v>436</v>
      </c>
      <c r="J91" s="21" t="s">
        <v>436</v>
      </c>
      <c r="K91" s="21">
        <v>27</v>
      </c>
      <c r="L91" s="21">
        <v>94.54</v>
      </c>
      <c r="M91" s="21" t="s">
        <v>56</v>
      </c>
      <c r="N91" s="21">
        <v>0</v>
      </c>
      <c r="O91" s="21">
        <v>1</v>
      </c>
      <c r="P91" s="21">
        <v>0</v>
      </c>
      <c r="Q91" s="21" t="s">
        <v>52</v>
      </c>
      <c r="R91" s="66">
        <v>41832.397372685184</v>
      </c>
      <c r="S91" s="66" t="s">
        <v>59</v>
      </c>
      <c r="T91" s="66" t="s">
        <v>430</v>
      </c>
      <c r="U91" s="66" t="s">
        <v>53</v>
      </c>
      <c r="V91" s="67">
        <v>0</v>
      </c>
      <c r="W91" s="67" t="s">
        <v>52</v>
      </c>
      <c r="X91" s="68">
        <v>41841.595381944448</v>
      </c>
      <c r="Y91" s="68">
        <v>41841.603564814817</v>
      </c>
      <c r="Z91" s="67">
        <v>0</v>
      </c>
      <c r="AA91" s="67">
        <f>IFERROR(IF(OR(C91&lt;&gt;C90,ABS(TEXT(Tabla_ss2p_pedidos[[#This Row],[fecha_solicitud]],"d")-TEXT(Tabla_ss2p_pedidos[[#This Row],[fecha_solicitud]],"d"))&gt;=1),1,AA90+1),1)</f>
        <v>5</v>
      </c>
      <c r="AB9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511201422821072014</v>
      </c>
    </row>
    <row r="92" spans="1:28" x14ac:dyDescent="0.25">
      <c r="A92" s="21">
        <v>3607</v>
      </c>
      <c r="B92" s="21">
        <v>4232</v>
      </c>
      <c r="C92" s="21">
        <v>228</v>
      </c>
      <c r="D92" s="21">
        <v>99</v>
      </c>
      <c r="E92" s="21">
        <v>11</v>
      </c>
      <c r="F92" s="21">
        <v>2014</v>
      </c>
      <c r="G92" s="21" t="s">
        <v>437</v>
      </c>
      <c r="H92" s="21" t="s">
        <v>438</v>
      </c>
      <c r="I92" s="21" t="s">
        <v>439</v>
      </c>
      <c r="J92" s="21" t="s">
        <v>439</v>
      </c>
      <c r="K92" s="21">
        <v>211</v>
      </c>
      <c r="L92" s="21">
        <v>364.68</v>
      </c>
      <c r="M92" s="21" t="s">
        <v>56</v>
      </c>
      <c r="N92" s="21">
        <v>0</v>
      </c>
      <c r="O92" s="21">
        <v>1</v>
      </c>
      <c r="P92" s="21">
        <v>0</v>
      </c>
      <c r="Q92" s="21" t="s">
        <v>52</v>
      </c>
      <c r="R92" s="66">
        <v>41832.397372685184</v>
      </c>
      <c r="S92" s="66" t="s">
        <v>59</v>
      </c>
      <c r="T92" s="66" t="s">
        <v>430</v>
      </c>
      <c r="U92" s="66" t="s">
        <v>53</v>
      </c>
      <c r="V92" s="67">
        <v>0</v>
      </c>
      <c r="W92" s="67" t="s">
        <v>52</v>
      </c>
      <c r="X92" s="68">
        <v>41841.595509259256</v>
      </c>
      <c r="Y92" s="68">
        <v>41841.60361111111</v>
      </c>
      <c r="Z92" s="67">
        <v>0</v>
      </c>
      <c r="AA92" s="67">
        <f>IFERROR(IF(OR(C92&lt;&gt;C91,ABS(TEXT(Tabla_ss2p_pedidos[[#This Row],[fecha_solicitud]],"d")-TEXT(Tabla_ss2p_pedidos[[#This Row],[fecha_solicitud]],"d"))&gt;=1),1,AA91+1),1)</f>
        <v>6</v>
      </c>
      <c r="AB9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611201422821072014</v>
      </c>
    </row>
    <row r="93" spans="1:28" x14ac:dyDescent="0.25">
      <c r="A93" s="21">
        <v>3577</v>
      </c>
      <c r="B93" s="21">
        <v>477417</v>
      </c>
      <c r="C93" s="21">
        <v>228</v>
      </c>
      <c r="D93" s="21">
        <v>10</v>
      </c>
      <c r="E93" s="21">
        <v>11</v>
      </c>
      <c r="F93" s="21">
        <v>2014</v>
      </c>
      <c r="G93" s="21" t="s">
        <v>444</v>
      </c>
      <c r="H93" s="21" t="s">
        <v>445</v>
      </c>
      <c r="I93" s="21" t="s">
        <v>446</v>
      </c>
      <c r="J93" s="21" t="s">
        <v>447</v>
      </c>
      <c r="K93" s="21">
        <v>10</v>
      </c>
      <c r="L93" s="21">
        <v>61.89</v>
      </c>
      <c r="M93" s="21" t="s">
        <v>58</v>
      </c>
      <c r="N93" s="21">
        <v>0</v>
      </c>
      <c r="O93" s="21">
        <v>1</v>
      </c>
      <c r="P93" s="21">
        <v>0</v>
      </c>
      <c r="Q93" s="21" t="s">
        <v>52</v>
      </c>
      <c r="R93" s="66">
        <v>41832.397372685184</v>
      </c>
      <c r="S93" s="66" t="s">
        <v>59</v>
      </c>
      <c r="T93" s="66" t="s">
        <v>443</v>
      </c>
      <c r="U93" s="66" t="s">
        <v>53</v>
      </c>
      <c r="V93" s="67">
        <v>0</v>
      </c>
      <c r="W93" s="67" t="s">
        <v>52</v>
      </c>
      <c r="X93" s="68">
        <v>41841.613206018519</v>
      </c>
      <c r="Y93" s="68">
        <v>41841.616168981483</v>
      </c>
      <c r="Z93" s="67">
        <v>0</v>
      </c>
      <c r="AA93" s="67">
        <f>IFERROR(IF(OR(C93&lt;&gt;C92,ABS(TEXT(Tabla_ss2p_pedidos[[#This Row],[fecha_solicitud]],"d")-TEXT(Tabla_ss2p_pedidos[[#This Row],[fecha_solicitud]],"d"))&gt;=1),1,AA92+1),1)</f>
        <v>7</v>
      </c>
      <c r="AB9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711201422821072014</v>
      </c>
    </row>
    <row r="94" spans="1:28" x14ac:dyDescent="0.25">
      <c r="A94" s="21">
        <v>3579</v>
      </c>
      <c r="B94" s="21">
        <v>501002</v>
      </c>
      <c r="C94" s="21">
        <v>228</v>
      </c>
      <c r="D94" s="21">
        <v>10</v>
      </c>
      <c r="E94" s="21">
        <v>11</v>
      </c>
      <c r="F94" s="21">
        <v>2014</v>
      </c>
      <c r="G94" s="21" t="s">
        <v>440</v>
      </c>
      <c r="H94" s="21" t="s">
        <v>441</v>
      </c>
      <c r="I94" s="21" t="s">
        <v>442</v>
      </c>
      <c r="J94" s="21" t="s">
        <v>52</v>
      </c>
      <c r="K94" s="21">
        <v>4</v>
      </c>
      <c r="L94" s="21">
        <v>31.29</v>
      </c>
      <c r="M94" s="21" t="s">
        <v>58</v>
      </c>
      <c r="N94" s="21">
        <v>0</v>
      </c>
      <c r="O94" s="21">
        <v>1</v>
      </c>
      <c r="P94" s="21">
        <v>0</v>
      </c>
      <c r="Q94" s="21" t="s">
        <v>52</v>
      </c>
      <c r="R94" s="66">
        <v>41832.397372685184</v>
      </c>
      <c r="S94" s="66" t="s">
        <v>59</v>
      </c>
      <c r="T94" s="66" t="s">
        <v>443</v>
      </c>
      <c r="U94" s="66" t="s">
        <v>53</v>
      </c>
      <c r="V94" s="67">
        <v>0</v>
      </c>
      <c r="W94" s="67" t="s">
        <v>52</v>
      </c>
      <c r="X94" s="68">
        <v>41841.613368055558</v>
      </c>
      <c r="Y94" s="68">
        <v>41841.61613425926</v>
      </c>
      <c r="Z94" s="67">
        <v>0</v>
      </c>
      <c r="AA94" s="67">
        <f>IFERROR(IF(OR(C94&lt;&gt;C93,ABS(TEXT(Tabla_ss2p_pedidos[[#This Row],[fecha_solicitud]],"d")-TEXT(Tabla_ss2p_pedidos[[#This Row],[fecha_solicitud]],"d"))&gt;=1),1,AA93+1),1)</f>
        <v>8</v>
      </c>
      <c r="AB9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811201422821072014</v>
      </c>
    </row>
    <row r="95" spans="1:28" x14ac:dyDescent="0.25">
      <c r="A95" s="21">
        <v>3547</v>
      </c>
      <c r="B95" s="21">
        <v>504876</v>
      </c>
      <c r="C95" s="21">
        <v>228</v>
      </c>
      <c r="D95" s="21">
        <v>1</v>
      </c>
      <c r="E95" s="21">
        <v>11</v>
      </c>
      <c r="F95" s="21">
        <v>2014</v>
      </c>
      <c r="G95" s="21" t="s">
        <v>448</v>
      </c>
      <c r="H95" s="21" t="s">
        <v>449</v>
      </c>
      <c r="I95" s="21" t="s">
        <v>450</v>
      </c>
      <c r="J95" s="21" t="s">
        <v>52</v>
      </c>
      <c r="K95" s="21">
        <v>2</v>
      </c>
      <c r="L95" s="21">
        <v>54.21</v>
      </c>
      <c r="M95" s="21" t="s">
        <v>54</v>
      </c>
      <c r="N95" s="21">
        <v>0</v>
      </c>
      <c r="O95" s="21">
        <v>1</v>
      </c>
      <c r="P95" s="21">
        <v>0</v>
      </c>
      <c r="Q95" s="21" t="s">
        <v>52</v>
      </c>
      <c r="R95" s="66">
        <v>41832.397361111114</v>
      </c>
      <c r="S95" s="66" t="s">
        <v>59</v>
      </c>
      <c r="T95" s="66" t="s">
        <v>443</v>
      </c>
      <c r="U95" s="66" t="s">
        <v>53</v>
      </c>
      <c r="V95" s="67">
        <v>0</v>
      </c>
      <c r="W95" s="67" t="s">
        <v>52</v>
      </c>
      <c r="X95" s="68">
        <v>41841.697442129633</v>
      </c>
      <c r="Y95" s="68">
        <v>41841.701678240737</v>
      </c>
      <c r="Z95" s="67">
        <v>0</v>
      </c>
      <c r="AA95" s="67">
        <f>IFERROR(IF(OR(C95&lt;&gt;C94,ABS(TEXT(Tabla_ss2p_pedidos[[#This Row],[fecha_solicitud]],"d")-TEXT(Tabla_ss2p_pedidos[[#This Row],[fecha_solicitud]],"d"))&gt;=1),1,AA94+1),1)</f>
        <v>9</v>
      </c>
      <c r="AB9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911201422821072014</v>
      </c>
    </row>
    <row r="96" spans="1:28" x14ac:dyDescent="0.25">
      <c r="A96" s="21">
        <v>3598</v>
      </c>
      <c r="B96" s="21">
        <v>477573</v>
      </c>
      <c r="C96" s="21">
        <v>228</v>
      </c>
      <c r="D96" s="21">
        <v>16</v>
      </c>
      <c r="E96" s="21">
        <v>11</v>
      </c>
      <c r="F96" s="21">
        <v>2014</v>
      </c>
      <c r="G96" s="21" t="s">
        <v>451</v>
      </c>
      <c r="H96" s="21" t="s">
        <v>452</v>
      </c>
      <c r="I96" s="21" t="s">
        <v>453</v>
      </c>
      <c r="J96" s="21" t="s">
        <v>453</v>
      </c>
      <c r="K96" s="21">
        <v>15</v>
      </c>
      <c r="L96" s="21">
        <v>50.29</v>
      </c>
      <c r="M96" s="21" t="s">
        <v>134</v>
      </c>
      <c r="N96" s="21">
        <v>0</v>
      </c>
      <c r="O96" s="21">
        <v>1</v>
      </c>
      <c r="P96" s="21">
        <v>0</v>
      </c>
      <c r="Q96" s="21" t="s">
        <v>52</v>
      </c>
      <c r="R96" s="66">
        <v>41832.397372685184</v>
      </c>
      <c r="S96" s="66" t="s">
        <v>59</v>
      </c>
      <c r="T96" s="66" t="s">
        <v>454</v>
      </c>
      <c r="U96" s="66" t="s">
        <v>53</v>
      </c>
      <c r="V96" s="67">
        <v>0</v>
      </c>
      <c r="W96" s="67" t="s">
        <v>52</v>
      </c>
      <c r="X96" s="68">
        <v>41841.697766203702</v>
      </c>
      <c r="Y96" s="68">
        <v>41841.701863425929</v>
      </c>
      <c r="Z96" s="67">
        <v>0</v>
      </c>
      <c r="AA96" s="67">
        <f>IFERROR(IF(OR(C96&lt;&gt;C95,ABS(TEXT(Tabla_ss2p_pedidos[[#This Row],[fecha_solicitud]],"d")-TEXT(Tabla_ss2p_pedidos[[#This Row],[fecha_solicitud]],"d"))&gt;=1),1,AA95+1),1)</f>
        <v>10</v>
      </c>
      <c r="AB9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1011201422821072014</v>
      </c>
    </row>
    <row r="97" spans="1:28" x14ac:dyDescent="0.25">
      <c r="A97" s="21">
        <v>3559</v>
      </c>
      <c r="B97" s="21">
        <v>24361</v>
      </c>
      <c r="C97" s="21">
        <v>228</v>
      </c>
      <c r="D97" s="21">
        <v>2</v>
      </c>
      <c r="E97" s="21">
        <v>11</v>
      </c>
      <c r="F97" s="21">
        <v>2014</v>
      </c>
      <c r="G97" s="21" t="s">
        <v>455</v>
      </c>
      <c r="H97" s="21" t="s">
        <v>456</v>
      </c>
      <c r="I97" s="21" t="s">
        <v>457</v>
      </c>
      <c r="J97" s="21" t="s">
        <v>458</v>
      </c>
      <c r="K97" s="21">
        <v>127</v>
      </c>
      <c r="L97" s="21">
        <v>72.31</v>
      </c>
      <c r="M97" s="21" t="s">
        <v>54</v>
      </c>
      <c r="N97" s="21">
        <v>0</v>
      </c>
      <c r="O97" s="21">
        <v>1</v>
      </c>
      <c r="P97" s="21">
        <v>0</v>
      </c>
      <c r="Q97" s="21" t="s">
        <v>52</v>
      </c>
      <c r="R97" s="66">
        <v>41832.397361111114</v>
      </c>
      <c r="S97" s="66" t="s">
        <v>59</v>
      </c>
      <c r="T97" s="66" t="s">
        <v>443</v>
      </c>
      <c r="U97" s="66" t="s">
        <v>53</v>
      </c>
      <c r="V97" s="67">
        <v>0</v>
      </c>
      <c r="W97" s="67" t="s">
        <v>52</v>
      </c>
      <c r="X97" s="68">
        <v>41841.711840277778</v>
      </c>
      <c r="Y97" s="68">
        <v>41841.716574074075</v>
      </c>
      <c r="Z97" s="67">
        <v>0</v>
      </c>
      <c r="AA97" s="67">
        <f>IFERROR(IF(OR(C97&lt;&gt;C96,ABS(TEXT(Tabla_ss2p_pedidos[[#This Row],[fecha_solicitud]],"d")-TEXT(Tabla_ss2p_pedidos[[#This Row],[fecha_solicitud]],"d"))&gt;=1),1,AA96+1),1)</f>
        <v>11</v>
      </c>
      <c r="AB9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1111201422821072014</v>
      </c>
    </row>
    <row r="98" spans="1:28" x14ac:dyDescent="0.25">
      <c r="A98" s="21">
        <v>4562</v>
      </c>
      <c r="B98" s="21">
        <v>495086</v>
      </c>
      <c r="C98" s="21">
        <v>229</v>
      </c>
      <c r="D98" s="21">
        <v>2</v>
      </c>
      <c r="E98" s="21">
        <v>11</v>
      </c>
      <c r="F98" s="21">
        <v>2014</v>
      </c>
      <c r="G98" s="21" t="s">
        <v>505</v>
      </c>
      <c r="H98" s="21" t="s">
        <v>506</v>
      </c>
      <c r="I98" s="21" t="s">
        <v>507</v>
      </c>
      <c r="J98" s="21" t="s">
        <v>507</v>
      </c>
      <c r="K98" s="21">
        <v>9</v>
      </c>
      <c r="L98" s="21">
        <v>24.34</v>
      </c>
      <c r="M98" s="21" t="s">
        <v>134</v>
      </c>
      <c r="N98" s="21">
        <v>0</v>
      </c>
      <c r="O98" s="21">
        <v>1</v>
      </c>
      <c r="P98" s="21">
        <v>0</v>
      </c>
      <c r="Q98" s="21" t="s">
        <v>52</v>
      </c>
      <c r="R98" s="66">
        <v>41836.510636574072</v>
      </c>
      <c r="S98" s="66" t="s">
        <v>59</v>
      </c>
      <c r="T98" s="66" t="s">
        <v>473</v>
      </c>
      <c r="U98" s="66" t="s">
        <v>53</v>
      </c>
      <c r="V98" s="67">
        <v>0</v>
      </c>
      <c r="W98" s="67" t="s">
        <v>52</v>
      </c>
      <c r="X98" s="68">
        <v>41839.460046296299</v>
      </c>
      <c r="Y98" s="68">
        <v>41841.774143518516</v>
      </c>
      <c r="Z98" s="67">
        <v>1</v>
      </c>
      <c r="AA98" s="67">
        <f>IFERROR(IF(OR(C98&lt;&gt;C97,ABS(TEXT(Tabla_ss2p_pedidos[[#This Row],[fecha_solicitud]],"d")-TEXT(Tabla_ss2p_pedidos[[#This Row],[fecha_solicitud]],"d"))&gt;=1),1,AA97+1),1)</f>
        <v>1</v>
      </c>
      <c r="AB9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111201422919072014</v>
      </c>
    </row>
    <row r="99" spans="1:28" x14ac:dyDescent="0.25">
      <c r="A99" s="21">
        <v>4615</v>
      </c>
      <c r="B99" s="21">
        <v>449167</v>
      </c>
      <c r="C99" s="21">
        <v>229</v>
      </c>
      <c r="D99" s="21">
        <v>12</v>
      </c>
      <c r="E99" s="21">
        <v>11</v>
      </c>
      <c r="F99" s="21">
        <v>2014</v>
      </c>
      <c r="G99" s="21" t="s">
        <v>180</v>
      </c>
      <c r="H99" s="21" t="s">
        <v>469</v>
      </c>
      <c r="I99" s="21" t="s">
        <v>470</v>
      </c>
      <c r="J99" s="21" t="s">
        <v>471</v>
      </c>
      <c r="K99" s="21">
        <v>22</v>
      </c>
      <c r="L99" s="21">
        <v>39.68</v>
      </c>
      <c r="M99" s="21" t="s">
        <v>58</v>
      </c>
      <c r="N99" s="21">
        <v>0</v>
      </c>
      <c r="O99" s="21">
        <v>1</v>
      </c>
      <c r="P99" s="21">
        <v>0</v>
      </c>
      <c r="Q99" s="21" t="s">
        <v>52</v>
      </c>
      <c r="R99" s="66">
        <v>41836.510648148149</v>
      </c>
      <c r="S99" s="66" t="s">
        <v>472</v>
      </c>
      <c r="T99" s="66" t="s">
        <v>473</v>
      </c>
      <c r="U99" s="66" t="s">
        <v>53</v>
      </c>
      <c r="V99" s="67">
        <v>0</v>
      </c>
      <c r="W99" s="67" t="s">
        <v>52</v>
      </c>
      <c r="X99" s="68">
        <v>41841.590682870374</v>
      </c>
      <c r="Y99" s="68">
        <v>41841.59615740741</v>
      </c>
      <c r="Z99" s="67">
        <v>0</v>
      </c>
      <c r="AA99" s="67">
        <f>IFERROR(IF(OR(C99&lt;&gt;C98,ABS(TEXT(Tabla_ss2p_pedidos[[#This Row],[fecha_solicitud]],"d")-TEXT(Tabla_ss2p_pedidos[[#This Row],[fecha_solicitud]],"d"))&gt;=1),1,AA98+1),1)</f>
        <v>2</v>
      </c>
      <c r="AB9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211201422921072014</v>
      </c>
    </row>
    <row r="100" spans="1:28" x14ac:dyDescent="0.25">
      <c r="A100" s="21">
        <v>4557</v>
      </c>
      <c r="B100" s="21">
        <v>363277</v>
      </c>
      <c r="C100" s="21">
        <v>229</v>
      </c>
      <c r="D100" s="21">
        <v>2</v>
      </c>
      <c r="E100" s="21">
        <v>11</v>
      </c>
      <c r="F100" s="21">
        <v>2014</v>
      </c>
      <c r="G100" s="21" t="s">
        <v>474</v>
      </c>
      <c r="H100" s="21" t="s">
        <v>475</v>
      </c>
      <c r="I100" s="21" t="s">
        <v>476</v>
      </c>
      <c r="J100" s="21" t="s">
        <v>476</v>
      </c>
      <c r="K100" s="21">
        <v>70</v>
      </c>
      <c r="L100" s="21">
        <v>146.82</v>
      </c>
      <c r="M100" s="21" t="s">
        <v>54</v>
      </c>
      <c r="N100" s="21">
        <v>0</v>
      </c>
      <c r="O100" s="21">
        <v>1</v>
      </c>
      <c r="P100" s="21">
        <v>0</v>
      </c>
      <c r="Q100" s="21" t="s">
        <v>52</v>
      </c>
      <c r="R100" s="66">
        <v>41836.510625000003</v>
      </c>
      <c r="S100" s="66" t="s">
        <v>59</v>
      </c>
      <c r="T100" s="66" t="s">
        <v>473</v>
      </c>
      <c r="U100" s="66" t="s">
        <v>53</v>
      </c>
      <c r="V100" s="67">
        <v>0</v>
      </c>
      <c r="W100" s="67" t="s">
        <v>52</v>
      </c>
      <c r="X100" s="68">
        <v>41841.596122685187</v>
      </c>
      <c r="Y100" s="68">
        <v>41841.603854166664</v>
      </c>
      <c r="Z100" s="67">
        <v>0</v>
      </c>
      <c r="AA100" s="67">
        <f>IFERROR(IF(OR(C100&lt;&gt;C99,ABS(TEXT(Tabla_ss2p_pedidos[[#This Row],[fecha_solicitud]],"d")-TEXT(Tabla_ss2p_pedidos[[#This Row],[fecha_solicitud]],"d"))&gt;=1),1,AA99+1),1)</f>
        <v>3</v>
      </c>
      <c r="AB10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311201422921072014</v>
      </c>
    </row>
    <row r="101" spans="1:28" x14ac:dyDescent="0.25">
      <c r="A101" s="21">
        <v>4632</v>
      </c>
      <c r="B101" s="21">
        <v>39219</v>
      </c>
      <c r="C101" s="21">
        <v>229</v>
      </c>
      <c r="D101" s="21">
        <v>14</v>
      </c>
      <c r="E101" s="21">
        <v>11</v>
      </c>
      <c r="F101" s="21">
        <v>2014</v>
      </c>
      <c r="G101" s="21" t="s">
        <v>477</v>
      </c>
      <c r="H101" s="21" t="s">
        <v>478</v>
      </c>
      <c r="I101" s="21" t="s">
        <v>479</v>
      </c>
      <c r="J101" s="21" t="s">
        <v>479</v>
      </c>
      <c r="K101" s="21">
        <v>101</v>
      </c>
      <c r="L101" s="21">
        <v>105.57</v>
      </c>
      <c r="M101" s="21" t="s">
        <v>56</v>
      </c>
      <c r="N101" s="21">
        <v>0</v>
      </c>
      <c r="O101" s="21">
        <v>2</v>
      </c>
      <c r="P101" s="21">
        <v>0</v>
      </c>
      <c r="Q101" s="21" t="s">
        <v>52</v>
      </c>
      <c r="R101" s="66">
        <v>41836.510659722226</v>
      </c>
      <c r="S101" s="66" t="s">
        <v>59</v>
      </c>
      <c r="T101" s="66" t="s">
        <v>473</v>
      </c>
      <c r="U101" s="66" t="s">
        <v>53</v>
      </c>
      <c r="V101" s="67">
        <v>0</v>
      </c>
      <c r="W101" s="67" t="s">
        <v>52</v>
      </c>
      <c r="X101" s="68">
        <v>41841.596261574072</v>
      </c>
      <c r="Y101" s="68">
        <v>41841.603912037041</v>
      </c>
      <c r="Z101" s="67">
        <v>0</v>
      </c>
      <c r="AA101" s="67">
        <f>IFERROR(IF(OR(C101&lt;&gt;C100,ABS(TEXT(Tabla_ss2p_pedidos[[#This Row],[fecha_solicitud]],"d")-TEXT(Tabla_ss2p_pedidos[[#This Row],[fecha_solicitud]],"d"))&gt;=1),1,AA100+1),1)</f>
        <v>4</v>
      </c>
      <c r="AB10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411201422921072014</v>
      </c>
    </row>
    <row r="102" spans="1:28" x14ac:dyDescent="0.25">
      <c r="A102" s="21">
        <v>4627</v>
      </c>
      <c r="B102" s="21">
        <v>495057</v>
      </c>
      <c r="C102" s="21">
        <v>229</v>
      </c>
      <c r="D102" s="21">
        <v>14</v>
      </c>
      <c r="E102" s="21">
        <v>11</v>
      </c>
      <c r="F102" s="21">
        <v>2014</v>
      </c>
      <c r="G102" s="21" t="s">
        <v>480</v>
      </c>
      <c r="H102" s="21" t="s">
        <v>481</v>
      </c>
      <c r="I102" s="21" t="s">
        <v>482</v>
      </c>
      <c r="J102" s="21" t="s">
        <v>52</v>
      </c>
      <c r="K102" s="21">
        <v>7</v>
      </c>
      <c r="L102" s="21">
        <v>123.85</v>
      </c>
      <c r="M102" s="21" t="s">
        <v>56</v>
      </c>
      <c r="N102" s="21">
        <v>0</v>
      </c>
      <c r="O102" s="21">
        <v>1</v>
      </c>
      <c r="P102" s="21">
        <v>0</v>
      </c>
      <c r="Q102" s="21" t="s">
        <v>52</v>
      </c>
      <c r="R102" s="66">
        <v>41836.510659722226</v>
      </c>
      <c r="S102" s="66" t="s">
        <v>59</v>
      </c>
      <c r="T102" s="66" t="s">
        <v>473</v>
      </c>
      <c r="U102" s="66" t="s">
        <v>53</v>
      </c>
      <c r="V102" s="67">
        <v>0</v>
      </c>
      <c r="W102" s="67" t="s">
        <v>52</v>
      </c>
      <c r="X102" s="68">
        <v>41841.596365740741</v>
      </c>
      <c r="Y102" s="68">
        <v>41841.604050925926</v>
      </c>
      <c r="Z102" s="67">
        <v>0</v>
      </c>
      <c r="AA102" s="67">
        <f>IFERROR(IF(OR(C102&lt;&gt;C101,ABS(TEXT(Tabla_ss2p_pedidos[[#This Row],[fecha_solicitud]],"d")-TEXT(Tabla_ss2p_pedidos[[#This Row],[fecha_solicitud]],"d"))&gt;=1),1,AA101+1),1)</f>
        <v>5</v>
      </c>
      <c r="AB10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511201422921072014</v>
      </c>
    </row>
    <row r="103" spans="1:28" x14ac:dyDescent="0.25">
      <c r="A103" s="21">
        <v>4553</v>
      </c>
      <c r="B103" s="21">
        <v>501238</v>
      </c>
      <c r="C103" s="21">
        <v>229</v>
      </c>
      <c r="D103" s="21">
        <v>1</v>
      </c>
      <c r="E103" s="21">
        <v>11</v>
      </c>
      <c r="F103" s="21">
        <v>2014</v>
      </c>
      <c r="G103" s="21" t="s">
        <v>483</v>
      </c>
      <c r="H103" s="21" t="s">
        <v>484</v>
      </c>
      <c r="I103" s="21" t="s">
        <v>485</v>
      </c>
      <c r="J103" s="21" t="s">
        <v>485</v>
      </c>
      <c r="K103" s="21">
        <v>5</v>
      </c>
      <c r="L103" s="21">
        <v>34.89</v>
      </c>
      <c r="M103" s="21" t="s">
        <v>56</v>
      </c>
      <c r="N103" s="21">
        <v>0</v>
      </c>
      <c r="O103" s="21">
        <v>1</v>
      </c>
      <c r="P103" s="21">
        <v>0</v>
      </c>
      <c r="Q103" s="21" t="s">
        <v>52</v>
      </c>
      <c r="R103" s="66">
        <v>41836.510625000003</v>
      </c>
      <c r="S103" s="66" t="s">
        <v>59</v>
      </c>
      <c r="T103" s="66" t="s">
        <v>473</v>
      </c>
      <c r="U103" s="66" t="s">
        <v>53</v>
      </c>
      <c r="V103" s="67">
        <v>0</v>
      </c>
      <c r="W103" s="67" t="s">
        <v>52</v>
      </c>
      <c r="X103" s="68">
        <v>41841.59646990741</v>
      </c>
      <c r="Y103" s="68">
        <v>41841.604143518518</v>
      </c>
      <c r="Z103" s="67">
        <v>0</v>
      </c>
      <c r="AA103" s="67">
        <f>IFERROR(IF(OR(C103&lt;&gt;C102,ABS(TEXT(Tabla_ss2p_pedidos[[#This Row],[fecha_solicitud]],"d")-TEXT(Tabla_ss2p_pedidos[[#This Row],[fecha_solicitud]],"d"))&gt;=1),1,AA102+1),1)</f>
        <v>6</v>
      </c>
      <c r="AB10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611201422921072014</v>
      </c>
    </row>
    <row r="104" spans="1:28" x14ac:dyDescent="0.25">
      <c r="A104" s="21">
        <v>4552</v>
      </c>
      <c r="B104" s="21">
        <v>322216</v>
      </c>
      <c r="C104" s="21">
        <v>229</v>
      </c>
      <c r="D104" s="21">
        <v>1</v>
      </c>
      <c r="E104" s="21">
        <v>11</v>
      </c>
      <c r="F104" s="21">
        <v>2014</v>
      </c>
      <c r="G104" s="21" t="s">
        <v>486</v>
      </c>
      <c r="H104" s="21" t="s">
        <v>487</v>
      </c>
      <c r="I104" s="21" t="s">
        <v>52</v>
      </c>
      <c r="J104" s="21" t="s">
        <v>52</v>
      </c>
      <c r="K104" s="21">
        <v>84</v>
      </c>
      <c r="L104" s="21">
        <v>46.96</v>
      </c>
      <c r="M104" s="21" t="s">
        <v>54</v>
      </c>
      <c r="N104" s="21">
        <v>0</v>
      </c>
      <c r="O104" s="21">
        <v>1</v>
      </c>
      <c r="P104" s="21">
        <v>0</v>
      </c>
      <c r="Q104" s="21" t="s">
        <v>52</v>
      </c>
      <c r="R104" s="66">
        <v>41836.510625000003</v>
      </c>
      <c r="S104" s="66" t="s">
        <v>59</v>
      </c>
      <c r="T104" s="66" t="s">
        <v>473</v>
      </c>
      <c r="U104" s="66" t="s">
        <v>53</v>
      </c>
      <c r="V104" s="67">
        <v>0</v>
      </c>
      <c r="W104" s="67" t="s">
        <v>52</v>
      </c>
      <c r="X104" s="68">
        <v>41841.596574074072</v>
      </c>
      <c r="Y104" s="68">
        <v>41841.606006944443</v>
      </c>
      <c r="Z104" s="67">
        <v>0</v>
      </c>
      <c r="AA104" s="67">
        <f>IFERROR(IF(OR(C104&lt;&gt;C103,ABS(TEXT(Tabla_ss2p_pedidos[[#This Row],[fecha_solicitud]],"d")-TEXT(Tabla_ss2p_pedidos[[#This Row],[fecha_solicitud]],"d"))&gt;=1),1,AA103+1),1)</f>
        <v>7</v>
      </c>
      <c r="AB10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711201422921072014</v>
      </c>
    </row>
    <row r="105" spans="1:28" x14ac:dyDescent="0.25">
      <c r="A105" s="21">
        <v>4582</v>
      </c>
      <c r="B105" s="21">
        <v>485243</v>
      </c>
      <c r="C105" s="21">
        <v>229</v>
      </c>
      <c r="D105" s="21">
        <v>5</v>
      </c>
      <c r="E105" s="21">
        <v>11</v>
      </c>
      <c r="F105" s="21">
        <v>2014</v>
      </c>
      <c r="G105" s="21" t="s">
        <v>179</v>
      </c>
      <c r="H105" s="21" t="s">
        <v>492</v>
      </c>
      <c r="I105" s="21" t="s">
        <v>493</v>
      </c>
      <c r="J105" s="21" t="s">
        <v>52</v>
      </c>
      <c r="K105" s="21">
        <v>7</v>
      </c>
      <c r="L105" s="21">
        <v>92.53</v>
      </c>
      <c r="M105" s="21" t="s">
        <v>56</v>
      </c>
      <c r="N105" s="21">
        <v>0</v>
      </c>
      <c r="O105" s="21">
        <v>1</v>
      </c>
      <c r="P105" s="21">
        <v>0</v>
      </c>
      <c r="Q105" s="21" t="s">
        <v>52</v>
      </c>
      <c r="R105" s="66">
        <v>41836.510636574072</v>
      </c>
      <c r="S105" s="66" t="s">
        <v>321</v>
      </c>
      <c r="T105" s="66" t="s">
        <v>491</v>
      </c>
      <c r="U105" s="66" t="s">
        <v>53</v>
      </c>
      <c r="V105" s="67">
        <v>0</v>
      </c>
      <c r="W105" s="67" t="s">
        <v>52</v>
      </c>
      <c r="X105" s="68">
        <v>41841.640370370369</v>
      </c>
      <c r="Y105" s="68">
        <v>41841.641770833332</v>
      </c>
      <c r="Z105" s="67">
        <v>0</v>
      </c>
      <c r="AA105" s="67">
        <f>IFERROR(IF(OR(C105&lt;&gt;C104,ABS(TEXT(Tabla_ss2p_pedidos[[#This Row],[fecha_solicitud]],"d")-TEXT(Tabla_ss2p_pedidos[[#This Row],[fecha_solicitud]],"d"))&gt;=1),1,AA104+1),1)</f>
        <v>8</v>
      </c>
      <c r="AB10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811201422921072014</v>
      </c>
    </row>
    <row r="106" spans="1:28" x14ac:dyDescent="0.25">
      <c r="A106" s="21">
        <v>4580</v>
      </c>
      <c r="B106" s="21">
        <v>501255</v>
      </c>
      <c r="C106" s="21">
        <v>229</v>
      </c>
      <c r="D106" s="21">
        <v>5</v>
      </c>
      <c r="E106" s="21">
        <v>11</v>
      </c>
      <c r="F106" s="21">
        <v>2014</v>
      </c>
      <c r="G106" s="21" t="s">
        <v>488</v>
      </c>
      <c r="H106" s="21" t="s">
        <v>489</v>
      </c>
      <c r="I106" s="21" t="s">
        <v>490</v>
      </c>
      <c r="J106" s="21" t="s">
        <v>52</v>
      </c>
      <c r="K106" s="21">
        <v>5</v>
      </c>
      <c r="L106" s="21">
        <v>44.7</v>
      </c>
      <c r="M106" s="21" t="s">
        <v>54</v>
      </c>
      <c r="N106" s="21">
        <v>0</v>
      </c>
      <c r="O106" s="21">
        <v>1</v>
      </c>
      <c r="P106" s="21">
        <v>0</v>
      </c>
      <c r="Q106" s="21" t="s">
        <v>52</v>
      </c>
      <c r="R106" s="66">
        <v>41836.510636574072</v>
      </c>
      <c r="S106" s="66" t="s">
        <v>321</v>
      </c>
      <c r="T106" s="66" t="s">
        <v>491</v>
      </c>
      <c r="U106" s="66" t="s">
        <v>53</v>
      </c>
      <c r="V106" s="67">
        <v>0</v>
      </c>
      <c r="W106" s="67" t="s">
        <v>52</v>
      </c>
      <c r="X106" s="68">
        <v>41841.640532407408</v>
      </c>
      <c r="Y106" s="68">
        <v>41841.641736111109</v>
      </c>
      <c r="Z106" s="67">
        <v>0</v>
      </c>
      <c r="AA106" s="67">
        <f>IFERROR(IF(OR(C106&lt;&gt;C105,ABS(TEXT(Tabla_ss2p_pedidos[[#This Row],[fecha_solicitud]],"d")-TEXT(Tabla_ss2p_pedidos[[#This Row],[fecha_solicitud]],"d"))&gt;=1),1,AA105+1),1)</f>
        <v>9</v>
      </c>
      <c r="AB10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911201422921072014</v>
      </c>
    </row>
    <row r="107" spans="1:28" x14ac:dyDescent="0.25">
      <c r="A107" s="21">
        <v>4573</v>
      </c>
      <c r="B107" s="21">
        <v>356925</v>
      </c>
      <c r="C107" s="21">
        <v>229</v>
      </c>
      <c r="D107" s="21">
        <v>3</v>
      </c>
      <c r="E107" s="21">
        <v>11</v>
      </c>
      <c r="F107" s="21">
        <v>2014</v>
      </c>
      <c r="G107" s="21" t="s">
        <v>494</v>
      </c>
      <c r="H107" s="21" t="s">
        <v>495</v>
      </c>
      <c r="I107" s="21" t="s">
        <v>496</v>
      </c>
      <c r="J107" s="21" t="s">
        <v>496</v>
      </c>
      <c r="K107" s="21">
        <v>75</v>
      </c>
      <c r="L107" s="21">
        <v>57.77</v>
      </c>
      <c r="M107" s="21" t="s">
        <v>134</v>
      </c>
      <c r="N107" s="21">
        <v>0</v>
      </c>
      <c r="O107" s="21">
        <v>1</v>
      </c>
      <c r="P107" s="21">
        <v>0</v>
      </c>
      <c r="Q107" s="21" t="s">
        <v>52</v>
      </c>
      <c r="R107" s="66">
        <v>41836.510636574072</v>
      </c>
      <c r="S107" s="66" t="s">
        <v>59</v>
      </c>
      <c r="T107" s="66" t="s">
        <v>491</v>
      </c>
      <c r="U107" s="66" t="s">
        <v>53</v>
      </c>
      <c r="V107" s="67">
        <v>0</v>
      </c>
      <c r="W107" s="67" t="s">
        <v>52</v>
      </c>
      <c r="X107" s="68">
        <v>41841.64166666667</v>
      </c>
      <c r="Y107" s="68">
        <v>41841.643043981479</v>
      </c>
      <c r="Z107" s="67">
        <v>0</v>
      </c>
      <c r="AA107" s="67">
        <f>IFERROR(IF(OR(C107&lt;&gt;C106,ABS(TEXT(Tabla_ss2p_pedidos[[#This Row],[fecha_solicitud]],"d")-TEXT(Tabla_ss2p_pedidos[[#This Row],[fecha_solicitud]],"d"))&gt;=1),1,AA106+1),1)</f>
        <v>10</v>
      </c>
      <c r="AB10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1011201422921072014</v>
      </c>
    </row>
    <row r="108" spans="1:28" x14ac:dyDescent="0.25">
      <c r="A108" s="21">
        <v>4575</v>
      </c>
      <c r="B108" s="21">
        <v>505092</v>
      </c>
      <c r="C108" s="21">
        <v>229</v>
      </c>
      <c r="D108" s="21">
        <v>3</v>
      </c>
      <c r="E108" s="21">
        <v>11</v>
      </c>
      <c r="F108" s="21">
        <v>2014</v>
      </c>
      <c r="G108" s="21" t="s">
        <v>497</v>
      </c>
      <c r="H108" s="21" t="s">
        <v>498</v>
      </c>
      <c r="I108" s="21" t="s">
        <v>499</v>
      </c>
      <c r="J108" s="21" t="s">
        <v>52</v>
      </c>
      <c r="K108" s="21">
        <v>3</v>
      </c>
      <c r="L108" s="21">
        <v>84.85</v>
      </c>
      <c r="M108" s="21" t="s">
        <v>56</v>
      </c>
      <c r="N108" s="21">
        <v>3.992</v>
      </c>
      <c r="O108" s="21">
        <v>1</v>
      </c>
      <c r="P108" s="21">
        <v>0</v>
      </c>
      <c r="Q108" s="21" t="s">
        <v>52</v>
      </c>
      <c r="R108" s="66">
        <v>41836.510636574072</v>
      </c>
      <c r="S108" s="66" t="s">
        <v>500</v>
      </c>
      <c r="T108" s="66" t="s">
        <v>491</v>
      </c>
      <c r="U108" s="66" t="s">
        <v>53</v>
      </c>
      <c r="V108" s="67">
        <v>0</v>
      </c>
      <c r="W108" s="67" t="s">
        <v>52</v>
      </c>
      <c r="X108" s="68">
        <v>41841.641932870371</v>
      </c>
      <c r="Y108" s="68">
        <v>41841.643171296295</v>
      </c>
      <c r="Z108" s="67">
        <v>0</v>
      </c>
      <c r="AA108" s="67">
        <f>IFERROR(IF(OR(C108&lt;&gt;C107,ABS(TEXT(Tabla_ss2p_pedidos[[#This Row],[fecha_solicitud]],"d")-TEXT(Tabla_ss2p_pedidos[[#This Row],[fecha_solicitud]],"d"))&gt;=1),1,AA107+1),1)</f>
        <v>11</v>
      </c>
      <c r="AB10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1111201422921072014</v>
      </c>
    </row>
    <row r="109" spans="1:28" x14ac:dyDescent="0.25">
      <c r="A109" s="21">
        <v>4642</v>
      </c>
      <c r="B109" s="21">
        <v>290632</v>
      </c>
      <c r="C109" s="21">
        <v>229</v>
      </c>
      <c r="D109" s="21">
        <v>99</v>
      </c>
      <c r="E109" s="21">
        <v>11</v>
      </c>
      <c r="F109" s="21">
        <v>2014</v>
      </c>
      <c r="G109" s="21" t="s">
        <v>501</v>
      </c>
      <c r="H109" s="21" t="s">
        <v>502</v>
      </c>
      <c r="I109" s="21" t="s">
        <v>503</v>
      </c>
      <c r="J109" s="21" t="s">
        <v>504</v>
      </c>
      <c r="K109" s="21">
        <v>298</v>
      </c>
      <c r="L109" s="21">
        <v>447.81</v>
      </c>
      <c r="M109" s="21" t="s">
        <v>54</v>
      </c>
      <c r="N109" s="21">
        <v>0</v>
      </c>
      <c r="O109" s="21">
        <v>3</v>
      </c>
      <c r="P109" s="21">
        <v>0</v>
      </c>
      <c r="Q109" s="21" t="s">
        <v>52</v>
      </c>
      <c r="R109" s="66">
        <v>41836.510659722226</v>
      </c>
      <c r="S109" s="66" t="s">
        <v>321</v>
      </c>
      <c r="T109" s="66" t="s">
        <v>491</v>
      </c>
      <c r="U109" s="66" t="s">
        <v>53</v>
      </c>
      <c r="V109" s="67">
        <v>0</v>
      </c>
      <c r="W109" s="67" t="s">
        <v>52</v>
      </c>
      <c r="X109" s="68">
        <v>41841.661273148151</v>
      </c>
      <c r="Y109" s="68">
        <v>41841.662407407406</v>
      </c>
      <c r="Z109" s="67">
        <v>0</v>
      </c>
      <c r="AA109" s="67">
        <f>IFERROR(IF(OR(C109&lt;&gt;C108,ABS(TEXT(Tabla_ss2p_pedidos[[#This Row],[fecha_solicitud]],"d")-TEXT(Tabla_ss2p_pedidos[[#This Row],[fecha_solicitud]],"d"))&gt;=1),1,AA108+1),1)</f>
        <v>12</v>
      </c>
      <c r="AB10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1211201422921072014</v>
      </c>
    </row>
    <row r="110" spans="1:28" x14ac:dyDescent="0.25">
      <c r="A110" s="21">
        <v>5150</v>
      </c>
      <c r="B110" s="21">
        <v>485498</v>
      </c>
      <c r="C110" s="21">
        <v>230</v>
      </c>
      <c r="D110" s="21">
        <v>19</v>
      </c>
      <c r="E110" s="21">
        <v>11</v>
      </c>
      <c r="F110" s="21">
        <v>2014</v>
      </c>
      <c r="G110" s="21" t="s">
        <v>110</v>
      </c>
      <c r="H110" s="21" t="s">
        <v>111</v>
      </c>
      <c r="I110" s="21" t="s">
        <v>112</v>
      </c>
      <c r="J110" s="21" t="s">
        <v>52</v>
      </c>
      <c r="K110" s="21">
        <v>14</v>
      </c>
      <c r="L110" s="21">
        <v>26.36</v>
      </c>
      <c r="M110" s="21" t="s">
        <v>56</v>
      </c>
      <c r="N110" s="21">
        <v>0</v>
      </c>
      <c r="O110" s="21">
        <v>1</v>
      </c>
      <c r="P110" s="21">
        <v>0</v>
      </c>
      <c r="Q110" s="21" t="s">
        <v>52</v>
      </c>
      <c r="R110" s="66">
        <v>41838.352268518516</v>
      </c>
      <c r="S110" s="66" t="s">
        <v>59</v>
      </c>
      <c r="T110" s="66" t="s">
        <v>113</v>
      </c>
      <c r="U110" s="66" t="s">
        <v>53</v>
      </c>
      <c r="V110" s="67">
        <v>0</v>
      </c>
      <c r="W110" s="67" t="s">
        <v>52</v>
      </c>
      <c r="X110" s="68">
        <v>41841.435706018521</v>
      </c>
      <c r="Y110" s="68">
        <v>41841.438518518517</v>
      </c>
      <c r="Z110" s="67">
        <v>0</v>
      </c>
      <c r="AA110" s="67">
        <f>IFERROR(IF(OR(C110&lt;&gt;C109,ABS(TEXT(Tabla_ss2p_pedidos[[#This Row],[fecha_solicitud]],"d")-TEXT(Tabla_ss2p_pedidos[[#This Row],[fecha_solicitud]],"d"))&gt;=1),1,AA109+1),1)</f>
        <v>1</v>
      </c>
      <c r="AB11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111201423021072014</v>
      </c>
    </row>
    <row r="111" spans="1:28" x14ac:dyDescent="0.25">
      <c r="A111" s="21">
        <v>5145</v>
      </c>
      <c r="B111" s="21">
        <v>505415</v>
      </c>
      <c r="C111" s="21">
        <v>230</v>
      </c>
      <c r="D111" s="21">
        <v>19</v>
      </c>
      <c r="E111" s="21">
        <v>11</v>
      </c>
      <c r="F111" s="21">
        <v>2014</v>
      </c>
      <c r="G111" s="21" t="s">
        <v>114</v>
      </c>
      <c r="H111" s="21" t="s">
        <v>115</v>
      </c>
      <c r="I111" s="21" t="s">
        <v>116</v>
      </c>
      <c r="J111" s="21" t="s">
        <v>52</v>
      </c>
      <c r="K111" s="21">
        <v>3</v>
      </c>
      <c r="L111" s="21">
        <v>54.55</v>
      </c>
      <c r="M111" s="21" t="s">
        <v>87</v>
      </c>
      <c r="N111" s="21">
        <v>0</v>
      </c>
      <c r="O111" s="21">
        <v>1</v>
      </c>
      <c r="P111" s="21">
        <v>0</v>
      </c>
      <c r="Q111" s="21" t="s">
        <v>52</v>
      </c>
      <c r="R111" s="66">
        <v>41838.352268518516</v>
      </c>
      <c r="S111" s="66" t="s">
        <v>59</v>
      </c>
      <c r="T111" s="66" t="s">
        <v>113</v>
      </c>
      <c r="U111" s="66" t="s">
        <v>53</v>
      </c>
      <c r="V111" s="67">
        <v>0</v>
      </c>
      <c r="W111" s="67" t="s">
        <v>52</v>
      </c>
      <c r="X111" s="68">
        <v>41841.435844907406</v>
      </c>
      <c r="Y111" s="68">
        <v>41841.447245370371</v>
      </c>
      <c r="Z111" s="67">
        <v>0</v>
      </c>
      <c r="AA111" s="67">
        <f>IFERROR(IF(OR(C111&lt;&gt;C110,ABS(TEXT(Tabla_ss2p_pedidos[[#This Row],[fecha_solicitud]],"d")-TEXT(Tabla_ss2p_pedidos[[#This Row],[fecha_solicitud]],"d"))&gt;=1),1,AA110+1),1)</f>
        <v>2</v>
      </c>
      <c r="AB11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211201423021072014</v>
      </c>
    </row>
    <row r="112" spans="1:28" x14ac:dyDescent="0.25">
      <c r="A112" s="21">
        <v>5146</v>
      </c>
      <c r="B112" s="21">
        <v>473080</v>
      </c>
      <c r="C112" s="21">
        <v>230</v>
      </c>
      <c r="D112" s="21">
        <v>19</v>
      </c>
      <c r="E112" s="21">
        <v>11</v>
      </c>
      <c r="F112" s="21">
        <v>2014</v>
      </c>
      <c r="G112" s="21" t="s">
        <v>123</v>
      </c>
      <c r="H112" s="21" t="s">
        <v>124</v>
      </c>
      <c r="I112" s="21" t="s">
        <v>125</v>
      </c>
      <c r="J112" s="21" t="s">
        <v>126</v>
      </c>
      <c r="K112" s="21">
        <v>12</v>
      </c>
      <c r="L112" s="21">
        <v>100.01</v>
      </c>
      <c r="M112" s="21" t="s">
        <v>58</v>
      </c>
      <c r="N112" s="21">
        <v>0</v>
      </c>
      <c r="O112" s="21">
        <v>1</v>
      </c>
      <c r="P112" s="21">
        <v>0</v>
      </c>
      <c r="Q112" s="21" t="s">
        <v>52</v>
      </c>
      <c r="R112" s="66">
        <v>41838.352268518516</v>
      </c>
      <c r="S112" s="66" t="s">
        <v>59</v>
      </c>
      <c r="T112" s="66" t="s">
        <v>113</v>
      </c>
      <c r="U112" s="66" t="s">
        <v>53</v>
      </c>
      <c r="V112" s="67">
        <v>0</v>
      </c>
      <c r="W112" s="67" t="s">
        <v>52</v>
      </c>
      <c r="X112" s="68">
        <v>41841.436006944445</v>
      </c>
      <c r="Y112" s="68">
        <v>41841.4530787037</v>
      </c>
      <c r="Z112" s="67">
        <v>0</v>
      </c>
      <c r="AA112" s="67">
        <f>IFERROR(IF(OR(C112&lt;&gt;C111,ABS(TEXT(Tabla_ss2p_pedidos[[#This Row],[fecha_solicitud]],"d")-TEXT(Tabla_ss2p_pedidos[[#This Row],[fecha_solicitud]],"d"))&gt;=1),1,AA111+1),1)</f>
        <v>3</v>
      </c>
      <c r="AB11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311201423021072014</v>
      </c>
    </row>
    <row r="113" spans="1:28" x14ac:dyDescent="0.25">
      <c r="A113" s="21">
        <v>5096</v>
      </c>
      <c r="B113" s="21">
        <v>496031</v>
      </c>
      <c r="C113" s="21">
        <v>230</v>
      </c>
      <c r="D113" s="21">
        <v>12</v>
      </c>
      <c r="E113" s="21">
        <v>11</v>
      </c>
      <c r="F113" s="21">
        <v>2014</v>
      </c>
      <c r="G113" s="21" t="s">
        <v>120</v>
      </c>
      <c r="H113" s="21" t="s">
        <v>121</v>
      </c>
      <c r="I113" s="21" t="s">
        <v>122</v>
      </c>
      <c r="J113" s="21" t="s">
        <v>52</v>
      </c>
      <c r="K113" s="21">
        <v>4</v>
      </c>
      <c r="L113" s="21">
        <v>56.68</v>
      </c>
      <c r="M113" s="21" t="s">
        <v>54</v>
      </c>
      <c r="N113" s="21">
        <v>0</v>
      </c>
      <c r="O113" s="21">
        <v>2</v>
      </c>
      <c r="P113" s="21">
        <v>0</v>
      </c>
      <c r="Q113" s="21" t="s">
        <v>52</v>
      </c>
      <c r="R113" s="66">
        <v>41838.352256944447</v>
      </c>
      <c r="S113" s="66" t="s">
        <v>59</v>
      </c>
      <c r="T113" s="66" t="s">
        <v>113</v>
      </c>
      <c r="U113" s="66" t="s">
        <v>53</v>
      </c>
      <c r="V113" s="67">
        <v>0</v>
      </c>
      <c r="W113" s="67" t="s">
        <v>52</v>
      </c>
      <c r="X113" s="68">
        <v>41841.436736111114</v>
      </c>
      <c r="Y113" s="68">
        <v>41841.452974537038</v>
      </c>
      <c r="Z113" s="67">
        <v>0</v>
      </c>
      <c r="AA113" s="67">
        <f>IFERROR(IF(OR(C113&lt;&gt;C112,ABS(TEXT(Tabla_ss2p_pedidos[[#This Row],[fecha_solicitud]],"d")-TEXT(Tabla_ss2p_pedidos[[#This Row],[fecha_solicitud]],"d"))&gt;=1),1,AA112+1),1)</f>
        <v>4</v>
      </c>
      <c r="AB11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411201423021072014</v>
      </c>
    </row>
    <row r="114" spans="1:28" x14ac:dyDescent="0.25">
      <c r="A114" s="21">
        <v>5102</v>
      </c>
      <c r="B114" s="21">
        <v>465796</v>
      </c>
      <c r="C114" s="21">
        <v>230</v>
      </c>
      <c r="D114" s="21">
        <v>13</v>
      </c>
      <c r="E114" s="21">
        <v>11</v>
      </c>
      <c r="F114" s="21">
        <v>2014</v>
      </c>
      <c r="G114" s="21" t="s">
        <v>117</v>
      </c>
      <c r="H114" s="21" t="s">
        <v>118</v>
      </c>
      <c r="I114" s="21" t="s">
        <v>119</v>
      </c>
      <c r="J114" s="21" t="s">
        <v>119</v>
      </c>
      <c r="K114" s="21">
        <v>22</v>
      </c>
      <c r="L114" s="21">
        <v>47.38</v>
      </c>
      <c r="M114" s="21" t="s">
        <v>87</v>
      </c>
      <c r="N114" s="21">
        <v>0</v>
      </c>
      <c r="O114" s="21">
        <v>1</v>
      </c>
      <c r="P114" s="21">
        <v>0</v>
      </c>
      <c r="Q114" s="21" t="s">
        <v>52</v>
      </c>
      <c r="R114" s="66">
        <v>41838.352256944447</v>
      </c>
      <c r="S114" s="66" t="s">
        <v>59</v>
      </c>
      <c r="T114" s="66" t="s">
        <v>113</v>
      </c>
      <c r="U114" s="66" t="s">
        <v>53</v>
      </c>
      <c r="V114" s="67">
        <v>0</v>
      </c>
      <c r="W114" s="67" t="s">
        <v>52</v>
      </c>
      <c r="X114" s="68">
        <v>41841.436898148146</v>
      </c>
      <c r="Y114" s="68">
        <v>41841.452939814815</v>
      </c>
      <c r="Z114" s="67">
        <v>0</v>
      </c>
      <c r="AA114" s="67">
        <f>IFERROR(IF(OR(C114&lt;&gt;C113,ABS(TEXT(Tabla_ss2p_pedidos[[#This Row],[fecha_solicitud]],"d")-TEXT(Tabla_ss2p_pedidos[[#This Row],[fecha_solicitud]],"d"))&gt;=1),1,AA113+1),1)</f>
        <v>5</v>
      </c>
      <c r="AB11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511201423021072014</v>
      </c>
    </row>
    <row r="115" spans="1:28" x14ac:dyDescent="0.25">
      <c r="A115" s="21">
        <v>5020</v>
      </c>
      <c r="B115" s="21">
        <v>506558</v>
      </c>
      <c r="C115" s="21">
        <v>230</v>
      </c>
      <c r="D115" s="21">
        <v>1</v>
      </c>
      <c r="E115" s="21">
        <v>11</v>
      </c>
      <c r="F115" s="21">
        <v>2014</v>
      </c>
      <c r="G115" s="21" t="s">
        <v>132</v>
      </c>
      <c r="H115" s="21" t="s">
        <v>133</v>
      </c>
      <c r="I115" s="21" t="s">
        <v>52</v>
      </c>
      <c r="J115" s="21" t="s">
        <v>52</v>
      </c>
      <c r="K115" s="21">
        <v>2</v>
      </c>
      <c r="L115" s="21">
        <v>116.03</v>
      </c>
      <c r="M115" s="21" t="s">
        <v>134</v>
      </c>
      <c r="N115" s="21">
        <v>6.3920000000000003</v>
      </c>
      <c r="O115" s="21">
        <v>2</v>
      </c>
      <c r="P115" s="21">
        <v>0</v>
      </c>
      <c r="Q115" s="21" t="s">
        <v>52</v>
      </c>
      <c r="R115" s="66">
        <v>41838.352233796293</v>
      </c>
      <c r="S115" s="66" t="s">
        <v>59</v>
      </c>
      <c r="T115" s="66" t="s">
        <v>113</v>
      </c>
      <c r="U115" s="66" t="s">
        <v>53</v>
      </c>
      <c r="V115" s="67">
        <v>0</v>
      </c>
      <c r="W115" s="67" t="s">
        <v>52</v>
      </c>
      <c r="X115" s="68">
        <v>41841.489305555559</v>
      </c>
      <c r="Y115" s="68">
        <v>41841.490162037036</v>
      </c>
      <c r="Z115" s="67">
        <v>0</v>
      </c>
      <c r="AA115" s="67">
        <f>IFERROR(IF(OR(C115&lt;&gt;C114,ABS(TEXT(Tabla_ss2p_pedidos[[#This Row],[fecha_solicitud]],"d")-TEXT(Tabla_ss2p_pedidos[[#This Row],[fecha_solicitud]],"d"))&gt;=1),1,AA114+1),1)</f>
        <v>6</v>
      </c>
      <c r="AB11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611201423021072014</v>
      </c>
    </row>
    <row r="116" spans="1:28" x14ac:dyDescent="0.25">
      <c r="A116" s="21">
        <v>5016</v>
      </c>
      <c r="B116" s="21">
        <v>9491</v>
      </c>
      <c r="C116" s="21">
        <v>230</v>
      </c>
      <c r="D116" s="21">
        <v>1</v>
      </c>
      <c r="E116" s="21">
        <v>11</v>
      </c>
      <c r="F116" s="21">
        <v>2014</v>
      </c>
      <c r="G116" s="21" t="s">
        <v>127</v>
      </c>
      <c r="H116" s="21" t="s">
        <v>128</v>
      </c>
      <c r="I116" s="21" t="s">
        <v>129</v>
      </c>
      <c r="J116" s="21" t="s">
        <v>130</v>
      </c>
      <c r="K116" s="21">
        <v>161</v>
      </c>
      <c r="L116" s="21">
        <v>62.53</v>
      </c>
      <c r="M116" s="21" t="s">
        <v>54</v>
      </c>
      <c r="N116" s="21">
        <v>0</v>
      </c>
      <c r="O116" s="21">
        <v>1</v>
      </c>
      <c r="P116" s="21">
        <v>0</v>
      </c>
      <c r="Q116" s="21" t="s">
        <v>52</v>
      </c>
      <c r="R116" s="66">
        <v>41838.352233796293</v>
      </c>
      <c r="S116" s="66" t="s">
        <v>59</v>
      </c>
      <c r="T116" s="66" t="s">
        <v>131</v>
      </c>
      <c r="U116" s="66" t="s">
        <v>53</v>
      </c>
      <c r="V116" s="67">
        <v>0</v>
      </c>
      <c r="W116" s="67" t="s">
        <v>52</v>
      </c>
      <c r="X116" s="68">
        <v>41841.489606481482</v>
      </c>
      <c r="Y116" s="68">
        <v>41841.489803240744</v>
      </c>
      <c r="Z116" s="67">
        <v>0</v>
      </c>
      <c r="AA116" s="67">
        <f>IFERROR(IF(OR(C116&lt;&gt;C115,ABS(TEXT(Tabla_ss2p_pedidos[[#This Row],[fecha_solicitud]],"d")-TEXT(Tabla_ss2p_pedidos[[#This Row],[fecha_solicitud]],"d"))&gt;=1),1,AA115+1),1)</f>
        <v>7</v>
      </c>
      <c r="AB11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711201423021072014</v>
      </c>
    </row>
    <row r="117" spans="1:28" x14ac:dyDescent="0.25">
      <c r="A117" s="21">
        <v>5036</v>
      </c>
      <c r="B117" s="21">
        <v>353582</v>
      </c>
      <c r="C117" s="21">
        <v>230</v>
      </c>
      <c r="D117" s="21">
        <v>3</v>
      </c>
      <c r="E117" s="21">
        <v>11</v>
      </c>
      <c r="F117" s="21">
        <v>2014</v>
      </c>
      <c r="G117" s="21" t="s">
        <v>135</v>
      </c>
      <c r="H117" s="21" t="s">
        <v>136</v>
      </c>
      <c r="I117" s="21" t="s">
        <v>137</v>
      </c>
      <c r="J117" s="21" t="s">
        <v>137</v>
      </c>
      <c r="K117" s="21">
        <v>37</v>
      </c>
      <c r="L117" s="21">
        <v>89.89</v>
      </c>
      <c r="M117" s="21" t="s">
        <v>54</v>
      </c>
      <c r="N117" s="21">
        <v>0</v>
      </c>
      <c r="O117" s="21">
        <v>1</v>
      </c>
      <c r="P117" s="21">
        <v>0</v>
      </c>
      <c r="Q117" s="21" t="s">
        <v>52</v>
      </c>
      <c r="R117" s="66">
        <v>41838.35224537037</v>
      </c>
      <c r="S117" s="66" t="s">
        <v>59</v>
      </c>
      <c r="T117" s="66" t="s">
        <v>113</v>
      </c>
      <c r="U117" s="66" t="s">
        <v>53</v>
      </c>
      <c r="V117" s="67">
        <v>0</v>
      </c>
      <c r="W117" s="67" t="s">
        <v>52</v>
      </c>
      <c r="X117" s="68">
        <v>41841.489791666667</v>
      </c>
      <c r="Y117" s="68">
        <v>41841.490393518521</v>
      </c>
      <c r="Z117" s="67">
        <v>0</v>
      </c>
      <c r="AA117" s="67">
        <f>IFERROR(IF(OR(C117&lt;&gt;C116,ABS(TEXT(Tabla_ss2p_pedidos[[#This Row],[fecha_solicitud]],"d")-TEXT(Tabla_ss2p_pedidos[[#This Row],[fecha_solicitud]],"d"))&gt;=1),1,AA116+1),1)</f>
        <v>8</v>
      </c>
      <c r="AB11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811201423021072014</v>
      </c>
    </row>
    <row r="118" spans="1:28" x14ac:dyDescent="0.25">
      <c r="A118" s="21">
        <v>5047</v>
      </c>
      <c r="B118" s="21">
        <v>503725</v>
      </c>
      <c r="C118" s="21">
        <v>230</v>
      </c>
      <c r="D118" s="21">
        <v>5</v>
      </c>
      <c r="E118" s="21">
        <v>11</v>
      </c>
      <c r="F118" s="21">
        <v>2014</v>
      </c>
      <c r="G118" s="21" t="s">
        <v>138</v>
      </c>
      <c r="H118" s="21" t="s">
        <v>139</v>
      </c>
      <c r="I118" s="21" t="s">
        <v>140</v>
      </c>
      <c r="J118" s="21" t="s">
        <v>141</v>
      </c>
      <c r="K118" s="21">
        <v>3</v>
      </c>
      <c r="L118" s="21">
        <v>44.66</v>
      </c>
      <c r="M118" s="21" t="s">
        <v>56</v>
      </c>
      <c r="N118" s="21">
        <v>0</v>
      </c>
      <c r="O118" s="21">
        <v>1</v>
      </c>
      <c r="P118" s="21">
        <v>0</v>
      </c>
      <c r="Q118" s="21" t="s">
        <v>52</v>
      </c>
      <c r="R118" s="66">
        <v>41838.35224537037</v>
      </c>
      <c r="S118" s="66" t="s">
        <v>59</v>
      </c>
      <c r="T118" s="66" t="s">
        <v>113</v>
      </c>
      <c r="U118" s="66" t="s">
        <v>53</v>
      </c>
      <c r="V118" s="67">
        <v>0</v>
      </c>
      <c r="W118" s="67" t="s">
        <v>52</v>
      </c>
      <c r="X118" s="68">
        <v>41841.489942129629</v>
      </c>
      <c r="Y118" s="68">
        <v>41841.49046296296</v>
      </c>
      <c r="Z118" s="67">
        <v>0</v>
      </c>
      <c r="AA118" s="67">
        <f>IFERROR(IF(OR(C118&lt;&gt;C117,ABS(TEXT(Tabla_ss2p_pedidos[[#This Row],[fecha_solicitud]],"d")-TEXT(Tabla_ss2p_pedidos[[#This Row],[fecha_solicitud]],"d"))&gt;=1),1,AA117+1),1)</f>
        <v>9</v>
      </c>
      <c r="AB11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911201423021072014</v>
      </c>
    </row>
    <row r="119" spans="1:28" x14ac:dyDescent="0.25">
      <c r="A119" s="21">
        <v>5054</v>
      </c>
      <c r="B119" s="21">
        <v>505324</v>
      </c>
      <c r="C119" s="21">
        <v>230</v>
      </c>
      <c r="D119" s="21">
        <v>7</v>
      </c>
      <c r="E119" s="21">
        <v>11</v>
      </c>
      <c r="F119" s="21">
        <v>2014</v>
      </c>
      <c r="G119" s="21" t="s">
        <v>142</v>
      </c>
      <c r="H119" s="21" t="s">
        <v>143</v>
      </c>
      <c r="I119" s="21" t="s">
        <v>144</v>
      </c>
      <c r="J119" s="21" t="s">
        <v>52</v>
      </c>
      <c r="K119" s="21">
        <v>3</v>
      </c>
      <c r="L119" s="21">
        <v>31.96</v>
      </c>
      <c r="M119" s="21" t="s">
        <v>58</v>
      </c>
      <c r="N119" s="21">
        <v>0</v>
      </c>
      <c r="O119" s="21">
        <v>2</v>
      </c>
      <c r="P119" s="21">
        <v>0</v>
      </c>
      <c r="Q119" s="21" t="s">
        <v>52</v>
      </c>
      <c r="R119" s="66">
        <v>41838.35224537037</v>
      </c>
      <c r="S119" s="66" t="s">
        <v>59</v>
      </c>
      <c r="T119" s="66" t="s">
        <v>145</v>
      </c>
      <c r="U119" s="66" t="s">
        <v>53</v>
      </c>
      <c r="V119" s="67">
        <v>0</v>
      </c>
      <c r="W119" s="67" t="s">
        <v>52</v>
      </c>
      <c r="X119" s="68">
        <v>41841.490254629629</v>
      </c>
      <c r="Y119" s="68">
        <v>41841.491944444446</v>
      </c>
      <c r="Z119" s="67">
        <v>0</v>
      </c>
      <c r="AA119" s="67">
        <f>IFERROR(IF(OR(C119&lt;&gt;C118,ABS(TEXT(Tabla_ss2p_pedidos[[#This Row],[fecha_solicitud]],"d")-TEXT(Tabla_ss2p_pedidos[[#This Row],[fecha_solicitud]],"d"))&gt;=1),1,AA118+1),1)</f>
        <v>10</v>
      </c>
      <c r="AB11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1011201423021072014</v>
      </c>
    </row>
    <row r="120" spans="1:28" x14ac:dyDescent="0.25">
      <c r="A120" s="21">
        <v>5052</v>
      </c>
      <c r="B120" s="21">
        <v>487408</v>
      </c>
      <c r="C120" s="21">
        <v>230</v>
      </c>
      <c r="D120" s="21">
        <v>7</v>
      </c>
      <c r="E120" s="21">
        <v>11</v>
      </c>
      <c r="F120" s="21">
        <v>2014</v>
      </c>
      <c r="G120" s="21" t="s">
        <v>146</v>
      </c>
      <c r="H120" s="21" t="s">
        <v>147</v>
      </c>
      <c r="I120" s="21" t="s">
        <v>148</v>
      </c>
      <c r="J120" s="21" t="s">
        <v>149</v>
      </c>
      <c r="K120" s="21">
        <v>13</v>
      </c>
      <c r="L120" s="21">
        <v>121.55</v>
      </c>
      <c r="M120" s="21" t="s">
        <v>58</v>
      </c>
      <c r="N120" s="21">
        <v>0</v>
      </c>
      <c r="O120" s="21">
        <v>1</v>
      </c>
      <c r="P120" s="21">
        <v>0</v>
      </c>
      <c r="Q120" s="21" t="s">
        <v>52</v>
      </c>
      <c r="R120" s="66">
        <v>41838.35224537037</v>
      </c>
      <c r="S120" s="66" t="s">
        <v>59</v>
      </c>
      <c r="T120" s="66" t="s">
        <v>145</v>
      </c>
      <c r="U120" s="66" t="s">
        <v>53</v>
      </c>
      <c r="V120" s="67">
        <v>0</v>
      </c>
      <c r="W120" s="67" t="s">
        <v>52</v>
      </c>
      <c r="X120" s="68">
        <v>41841.490381944444</v>
      </c>
      <c r="Y120" s="68">
        <v>41841.492002314815</v>
      </c>
      <c r="Z120" s="67">
        <v>0</v>
      </c>
      <c r="AA120" s="67">
        <f>IFERROR(IF(OR(C120&lt;&gt;C119,ABS(TEXT(Tabla_ss2p_pedidos[[#This Row],[fecha_solicitud]],"d")-TEXT(Tabla_ss2p_pedidos[[#This Row],[fecha_solicitud]],"d"))&gt;=1),1,AA119+1),1)</f>
        <v>11</v>
      </c>
      <c r="AB12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1111201423021072014</v>
      </c>
    </row>
    <row r="121" spans="1:28" x14ac:dyDescent="0.25">
      <c r="A121" s="21">
        <v>5143</v>
      </c>
      <c r="B121" s="21">
        <v>458141</v>
      </c>
      <c r="C121" s="21">
        <v>230</v>
      </c>
      <c r="D121" s="21">
        <v>18</v>
      </c>
      <c r="E121" s="21">
        <v>11</v>
      </c>
      <c r="F121" s="21">
        <v>2014</v>
      </c>
      <c r="G121" s="21" t="s">
        <v>155</v>
      </c>
      <c r="H121" s="21" t="s">
        <v>156</v>
      </c>
      <c r="I121" s="21" t="s">
        <v>157</v>
      </c>
      <c r="J121" s="21" t="s">
        <v>52</v>
      </c>
      <c r="K121" s="21">
        <v>27</v>
      </c>
      <c r="L121" s="21">
        <v>182.52</v>
      </c>
      <c r="M121" s="21" t="s">
        <v>56</v>
      </c>
      <c r="N121" s="21">
        <v>0</v>
      </c>
      <c r="O121" s="21">
        <v>1</v>
      </c>
      <c r="P121" s="21">
        <v>0</v>
      </c>
      <c r="Q121" s="21" t="s">
        <v>52</v>
      </c>
      <c r="R121" s="66">
        <v>41838.352268518516</v>
      </c>
      <c r="S121" s="66" t="s">
        <v>59</v>
      </c>
      <c r="T121" s="66" t="s">
        <v>154</v>
      </c>
      <c r="U121" s="66" t="s">
        <v>53</v>
      </c>
      <c r="V121" s="67">
        <v>0</v>
      </c>
      <c r="W121" s="67" t="s">
        <v>52</v>
      </c>
      <c r="X121" s="68">
        <v>41841.491307870368</v>
      </c>
      <c r="Y121" s="68">
        <v>41841.494583333333</v>
      </c>
      <c r="Z121" s="67">
        <v>0</v>
      </c>
      <c r="AA121" s="67">
        <f>IFERROR(IF(OR(C121&lt;&gt;C120,ABS(TEXT(Tabla_ss2p_pedidos[[#This Row],[fecha_solicitud]],"d")-TEXT(Tabla_ss2p_pedidos[[#This Row],[fecha_solicitud]],"d"))&gt;=1),1,AA120+1),1)</f>
        <v>12</v>
      </c>
      <c r="AB12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1211201423021072014</v>
      </c>
    </row>
    <row r="122" spans="1:28" x14ac:dyDescent="0.25">
      <c r="A122" s="21">
        <v>5132</v>
      </c>
      <c r="B122" s="21">
        <v>367949</v>
      </c>
      <c r="C122" s="21">
        <v>230</v>
      </c>
      <c r="D122" s="21">
        <v>18</v>
      </c>
      <c r="E122" s="21">
        <v>11</v>
      </c>
      <c r="F122" s="21">
        <v>2014</v>
      </c>
      <c r="G122" s="21" t="s">
        <v>150</v>
      </c>
      <c r="H122" s="21" t="s">
        <v>151</v>
      </c>
      <c r="I122" s="21" t="s">
        <v>152</v>
      </c>
      <c r="J122" s="21" t="s">
        <v>153</v>
      </c>
      <c r="K122" s="21">
        <v>64</v>
      </c>
      <c r="L122" s="21">
        <v>74.94</v>
      </c>
      <c r="M122" s="21" t="s">
        <v>54</v>
      </c>
      <c r="N122" s="21">
        <v>0</v>
      </c>
      <c r="O122" s="21">
        <v>1</v>
      </c>
      <c r="P122" s="21">
        <v>0</v>
      </c>
      <c r="Q122" s="21" t="s">
        <v>52</v>
      </c>
      <c r="R122" s="66">
        <v>41838.352268518516</v>
      </c>
      <c r="S122" s="66" t="s">
        <v>59</v>
      </c>
      <c r="T122" s="66" t="s">
        <v>154</v>
      </c>
      <c r="U122" s="66" t="s">
        <v>53</v>
      </c>
      <c r="V122" s="67">
        <v>0</v>
      </c>
      <c r="W122" s="67" t="s">
        <v>52</v>
      </c>
      <c r="X122" s="68">
        <v>41841.49145833333</v>
      </c>
      <c r="Y122" s="68">
        <v>41841.49454861111</v>
      </c>
      <c r="Z122" s="67">
        <v>0</v>
      </c>
      <c r="AA122" s="67">
        <f>IFERROR(IF(OR(C122&lt;&gt;C121,ABS(TEXT(Tabla_ss2p_pedidos[[#This Row],[fecha_solicitud]],"d")-TEXT(Tabla_ss2p_pedidos[[#This Row],[fecha_solicitud]],"d"))&gt;=1),1,AA121+1),1)</f>
        <v>13</v>
      </c>
      <c r="AB12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1311201423021072014</v>
      </c>
    </row>
    <row r="123" spans="1:28" x14ac:dyDescent="0.25">
      <c r="A123" s="21">
        <v>5069</v>
      </c>
      <c r="B123" s="21">
        <v>428447</v>
      </c>
      <c r="C123" s="21">
        <v>230</v>
      </c>
      <c r="D123" s="21">
        <v>9</v>
      </c>
      <c r="E123" s="21">
        <v>11</v>
      </c>
      <c r="F123" s="21">
        <v>2014</v>
      </c>
      <c r="G123" s="21" t="s">
        <v>158</v>
      </c>
      <c r="H123" s="21" t="s">
        <v>159</v>
      </c>
      <c r="I123" s="21" t="s">
        <v>160</v>
      </c>
      <c r="J123" s="21" t="s">
        <v>160</v>
      </c>
      <c r="K123" s="21">
        <v>39</v>
      </c>
      <c r="L123" s="21">
        <v>32</v>
      </c>
      <c r="M123" s="21" t="s">
        <v>54</v>
      </c>
      <c r="N123" s="21">
        <v>0</v>
      </c>
      <c r="O123" s="21">
        <v>2</v>
      </c>
      <c r="P123" s="21">
        <v>0</v>
      </c>
      <c r="Q123" s="21" t="s">
        <v>52</v>
      </c>
      <c r="R123" s="66">
        <v>41838.35224537037</v>
      </c>
      <c r="S123" s="66" t="s">
        <v>59</v>
      </c>
      <c r="T123" s="66" t="s">
        <v>154</v>
      </c>
      <c r="U123" s="66" t="s">
        <v>53</v>
      </c>
      <c r="V123" s="67">
        <v>0</v>
      </c>
      <c r="W123" s="67" t="s">
        <v>52</v>
      </c>
      <c r="X123" s="68">
        <v>41841.491597222222</v>
      </c>
      <c r="Y123" s="68">
        <v>41841.494814814818</v>
      </c>
      <c r="Z123" s="67">
        <v>0</v>
      </c>
      <c r="AA123" s="67">
        <f>IFERROR(IF(OR(C123&lt;&gt;C122,ABS(TEXT(Tabla_ss2p_pedidos[[#This Row],[fecha_solicitud]],"d")-TEXT(Tabla_ss2p_pedidos[[#This Row],[fecha_solicitud]],"d"))&gt;=1),1,AA122+1),1)</f>
        <v>14</v>
      </c>
      <c r="AB12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1411201423021072014</v>
      </c>
    </row>
    <row r="124" spans="1:28" x14ac:dyDescent="0.25">
      <c r="A124" s="21">
        <v>5066</v>
      </c>
      <c r="B124" s="21">
        <v>503803</v>
      </c>
      <c r="C124" s="21">
        <v>230</v>
      </c>
      <c r="D124" s="21">
        <v>9</v>
      </c>
      <c r="E124" s="21">
        <v>11</v>
      </c>
      <c r="F124" s="21">
        <v>2014</v>
      </c>
      <c r="G124" s="21" t="s">
        <v>508</v>
      </c>
      <c r="H124" s="21" t="s">
        <v>509</v>
      </c>
      <c r="I124" s="21" t="s">
        <v>510</v>
      </c>
      <c r="J124" s="21" t="s">
        <v>52</v>
      </c>
      <c r="K124" s="21">
        <v>4</v>
      </c>
      <c r="L124" s="21">
        <v>94.11</v>
      </c>
      <c r="M124" s="21" t="s">
        <v>54</v>
      </c>
      <c r="N124" s="21">
        <v>0</v>
      </c>
      <c r="O124" s="21">
        <v>1</v>
      </c>
      <c r="P124" s="21">
        <v>0</v>
      </c>
      <c r="Q124" s="21" t="s">
        <v>52</v>
      </c>
      <c r="R124" s="66">
        <v>41838.35224537037</v>
      </c>
      <c r="S124" s="66" t="s">
        <v>59</v>
      </c>
      <c r="T124" s="66" t="s">
        <v>154</v>
      </c>
      <c r="U124" s="66" t="s">
        <v>53</v>
      </c>
      <c r="V124" s="67">
        <v>0</v>
      </c>
      <c r="W124" s="67" t="s">
        <v>52</v>
      </c>
      <c r="X124" s="68">
        <v>41841.583449074074</v>
      </c>
      <c r="Y124" s="68">
        <v>41841.5856712963</v>
      </c>
      <c r="Z124" s="67">
        <v>0</v>
      </c>
      <c r="AA124" s="67">
        <f>IFERROR(IF(OR(C124&lt;&gt;C123,ABS(TEXT(Tabla_ss2p_pedidos[[#This Row],[fecha_solicitud]],"d")-TEXT(Tabla_ss2p_pedidos[[#This Row],[fecha_solicitud]],"d"))&gt;=1),1,AA123+1),1)</f>
        <v>15</v>
      </c>
      <c r="AB12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1511201423021072014</v>
      </c>
    </row>
    <row r="125" spans="1:28" x14ac:dyDescent="0.25">
      <c r="A125" s="21">
        <v>5121</v>
      </c>
      <c r="B125" s="21">
        <v>491145</v>
      </c>
      <c r="C125" s="21">
        <v>230</v>
      </c>
      <c r="D125" s="21">
        <v>16</v>
      </c>
      <c r="E125" s="21">
        <v>11</v>
      </c>
      <c r="F125" s="21">
        <v>2014</v>
      </c>
      <c r="G125" s="21" t="s">
        <v>511</v>
      </c>
      <c r="H125" s="21" t="s">
        <v>512</v>
      </c>
      <c r="I125" s="21" t="s">
        <v>513</v>
      </c>
      <c r="J125" s="21" t="s">
        <v>52</v>
      </c>
      <c r="K125" s="21">
        <v>10</v>
      </c>
      <c r="L125" s="21">
        <v>74.11</v>
      </c>
      <c r="M125" s="21" t="s">
        <v>54</v>
      </c>
      <c r="N125" s="21">
        <v>0</v>
      </c>
      <c r="O125" s="21">
        <v>1</v>
      </c>
      <c r="P125" s="21">
        <v>0</v>
      </c>
      <c r="Q125" s="21" t="s">
        <v>52</v>
      </c>
      <c r="R125" s="66">
        <v>41838.352268518516</v>
      </c>
      <c r="S125" s="66" t="s">
        <v>59</v>
      </c>
      <c r="T125" s="66" t="s">
        <v>145</v>
      </c>
      <c r="U125" s="66" t="s">
        <v>53</v>
      </c>
      <c r="V125" s="67">
        <v>0</v>
      </c>
      <c r="W125" s="67" t="s">
        <v>52</v>
      </c>
      <c r="X125" s="68">
        <v>41841.592233796298</v>
      </c>
      <c r="Y125" s="68">
        <v>41841.597650462965</v>
      </c>
      <c r="Z125" s="67">
        <v>0</v>
      </c>
      <c r="AA125" s="67">
        <f>IFERROR(IF(OR(C125&lt;&gt;C124,ABS(TEXT(Tabla_ss2p_pedidos[[#This Row],[fecha_solicitud]],"d")-TEXT(Tabla_ss2p_pedidos[[#This Row],[fecha_solicitud]],"d"))&gt;=1),1,AA124+1),1)</f>
        <v>16</v>
      </c>
      <c r="AB12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1611201423021072014</v>
      </c>
    </row>
    <row r="126" spans="1:28" x14ac:dyDescent="0.25">
      <c r="A126" s="21">
        <v>5107</v>
      </c>
      <c r="B126" s="21">
        <v>12515</v>
      </c>
      <c r="C126" s="21">
        <v>230</v>
      </c>
      <c r="D126" s="21">
        <v>13</v>
      </c>
      <c r="E126" s="21">
        <v>11</v>
      </c>
      <c r="F126" s="21">
        <v>2014</v>
      </c>
      <c r="G126" s="21" t="s">
        <v>514</v>
      </c>
      <c r="H126" s="21" t="s">
        <v>515</v>
      </c>
      <c r="I126" s="21" t="s">
        <v>516</v>
      </c>
      <c r="J126" s="21" t="s">
        <v>517</v>
      </c>
      <c r="K126" s="21">
        <v>114</v>
      </c>
      <c r="L126" s="21">
        <v>47.04</v>
      </c>
      <c r="M126" s="21" t="s">
        <v>56</v>
      </c>
      <c r="N126" s="21">
        <v>0</v>
      </c>
      <c r="O126" s="21">
        <v>1</v>
      </c>
      <c r="P126" s="21">
        <v>0</v>
      </c>
      <c r="Q126" s="21" t="s">
        <v>52</v>
      </c>
      <c r="R126" s="66">
        <v>41838.352256944447</v>
      </c>
      <c r="S126" s="66" t="s">
        <v>59</v>
      </c>
      <c r="T126" s="66" t="s">
        <v>113</v>
      </c>
      <c r="U126" s="66" t="s">
        <v>53</v>
      </c>
      <c r="V126" s="67">
        <v>0</v>
      </c>
      <c r="W126" s="67" t="s">
        <v>52</v>
      </c>
      <c r="X126" s="68">
        <v>41841.613680555558</v>
      </c>
      <c r="Y126" s="68">
        <v>41841.616342592592</v>
      </c>
      <c r="Z126" s="67">
        <v>0</v>
      </c>
      <c r="AA126" s="67">
        <f>IFERROR(IF(OR(C126&lt;&gt;C125,ABS(TEXT(Tabla_ss2p_pedidos[[#This Row],[fecha_solicitud]],"d")-TEXT(Tabla_ss2p_pedidos[[#This Row],[fecha_solicitud]],"d"))&gt;=1),1,AA125+1),1)</f>
        <v>17</v>
      </c>
      <c r="AB12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1711201423021072014</v>
      </c>
    </row>
    <row r="127" spans="1:28" x14ac:dyDescent="0.25">
      <c r="A127" s="21">
        <v>5157</v>
      </c>
      <c r="B127" s="21">
        <v>47540</v>
      </c>
      <c r="C127" s="21">
        <v>230</v>
      </c>
      <c r="D127" s="21">
        <v>21</v>
      </c>
      <c r="E127" s="21">
        <v>11</v>
      </c>
      <c r="F127" s="21">
        <v>2014</v>
      </c>
      <c r="G127" s="21" t="s">
        <v>528</v>
      </c>
      <c r="H127" s="21" t="s">
        <v>529</v>
      </c>
      <c r="I127" s="21" t="s">
        <v>526</v>
      </c>
      <c r="J127" s="21" t="s">
        <v>530</v>
      </c>
      <c r="K127" s="21">
        <v>140</v>
      </c>
      <c r="L127" s="21">
        <v>72.38</v>
      </c>
      <c r="M127" s="21" t="s">
        <v>54</v>
      </c>
      <c r="N127" s="21">
        <v>0</v>
      </c>
      <c r="O127" s="21">
        <v>1</v>
      </c>
      <c r="P127" s="21">
        <v>0</v>
      </c>
      <c r="Q127" s="21" t="s">
        <v>52</v>
      </c>
      <c r="R127" s="66">
        <v>41838.352280092593</v>
      </c>
      <c r="S127" s="66" t="s">
        <v>59</v>
      </c>
      <c r="T127" s="66" t="s">
        <v>145</v>
      </c>
      <c r="U127" s="66" t="s">
        <v>53</v>
      </c>
      <c r="V127" s="67">
        <v>0</v>
      </c>
      <c r="W127" s="67" t="s">
        <v>52</v>
      </c>
      <c r="X127" s="68">
        <v>41841.626585648148</v>
      </c>
      <c r="Y127" s="68">
        <v>41841.628553240742</v>
      </c>
      <c r="Z127" s="67">
        <v>0</v>
      </c>
      <c r="AA127" s="67">
        <f>IFERROR(IF(OR(C127&lt;&gt;C126,ABS(TEXT(Tabla_ss2p_pedidos[[#This Row],[fecha_solicitud]],"d")-TEXT(Tabla_ss2p_pedidos[[#This Row],[fecha_solicitud]],"d"))&gt;=1),1,AA126+1),1)</f>
        <v>18</v>
      </c>
      <c r="AB12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1811201423021072014</v>
      </c>
    </row>
    <row r="128" spans="1:28" x14ac:dyDescent="0.25">
      <c r="A128" s="21">
        <v>5161</v>
      </c>
      <c r="B128" s="21">
        <v>37825</v>
      </c>
      <c r="C128" s="21">
        <v>230</v>
      </c>
      <c r="D128" s="21">
        <v>21</v>
      </c>
      <c r="E128" s="21">
        <v>11</v>
      </c>
      <c r="F128" s="21">
        <v>2014</v>
      </c>
      <c r="G128" s="21" t="s">
        <v>524</v>
      </c>
      <c r="H128" s="21" t="s">
        <v>525</v>
      </c>
      <c r="I128" s="21" t="s">
        <v>526</v>
      </c>
      <c r="J128" s="21" t="s">
        <v>527</v>
      </c>
      <c r="K128" s="21">
        <v>145</v>
      </c>
      <c r="L128" s="21">
        <v>47.36</v>
      </c>
      <c r="M128" s="21" t="s">
        <v>134</v>
      </c>
      <c r="N128" s="21">
        <v>0</v>
      </c>
      <c r="O128" s="21">
        <v>1</v>
      </c>
      <c r="P128" s="21">
        <v>0</v>
      </c>
      <c r="Q128" s="21" t="s">
        <v>52</v>
      </c>
      <c r="R128" s="66">
        <v>41838.352280092593</v>
      </c>
      <c r="S128" s="66" t="s">
        <v>59</v>
      </c>
      <c r="T128" s="66" t="s">
        <v>145</v>
      </c>
      <c r="U128" s="66" t="s">
        <v>53</v>
      </c>
      <c r="V128" s="67">
        <v>0</v>
      </c>
      <c r="W128" s="67" t="s">
        <v>52</v>
      </c>
      <c r="X128" s="68">
        <v>41841.626736111109</v>
      </c>
      <c r="Y128" s="68">
        <v>41841.628506944442</v>
      </c>
      <c r="Z128" s="67">
        <v>0</v>
      </c>
      <c r="AA128" s="67">
        <f>IFERROR(IF(OR(C128&lt;&gt;C127,ABS(TEXT(Tabla_ss2p_pedidos[[#This Row],[fecha_solicitud]],"d")-TEXT(Tabla_ss2p_pedidos[[#This Row],[fecha_solicitud]],"d"))&gt;=1),1,AA127+1),1)</f>
        <v>19</v>
      </c>
      <c r="AB12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1911201423021072014</v>
      </c>
    </row>
    <row r="129" spans="1:28" x14ac:dyDescent="0.25">
      <c r="A129" s="21">
        <v>5156</v>
      </c>
      <c r="B129" s="21">
        <v>498777</v>
      </c>
      <c r="C129" s="21">
        <v>230</v>
      </c>
      <c r="D129" s="21">
        <v>21</v>
      </c>
      <c r="E129" s="21">
        <v>11</v>
      </c>
      <c r="F129" s="21">
        <v>2014</v>
      </c>
      <c r="G129" s="21" t="s">
        <v>521</v>
      </c>
      <c r="H129" s="21" t="s">
        <v>522</v>
      </c>
      <c r="I129" s="21" t="s">
        <v>523</v>
      </c>
      <c r="J129" s="21" t="s">
        <v>52</v>
      </c>
      <c r="K129" s="21">
        <v>7</v>
      </c>
      <c r="L129" s="21">
        <v>42.88</v>
      </c>
      <c r="M129" s="21" t="s">
        <v>54</v>
      </c>
      <c r="N129" s="21">
        <v>0</v>
      </c>
      <c r="O129" s="21">
        <v>1</v>
      </c>
      <c r="P129" s="21">
        <v>0</v>
      </c>
      <c r="Q129" s="21" t="s">
        <v>52</v>
      </c>
      <c r="R129" s="66">
        <v>41838.352280092593</v>
      </c>
      <c r="S129" s="66" t="s">
        <v>59</v>
      </c>
      <c r="T129" s="66" t="s">
        <v>145</v>
      </c>
      <c r="U129" s="66" t="s">
        <v>53</v>
      </c>
      <c r="V129" s="67">
        <v>0</v>
      </c>
      <c r="W129" s="67" t="s">
        <v>52</v>
      </c>
      <c r="X129" s="68">
        <v>41841.626932870371</v>
      </c>
      <c r="Y129" s="68">
        <v>41841.628460648149</v>
      </c>
      <c r="Z129" s="67">
        <v>0</v>
      </c>
      <c r="AA129" s="67">
        <f>IFERROR(IF(OR(C129&lt;&gt;C128,ABS(TEXT(Tabla_ss2p_pedidos[[#This Row],[fecha_solicitud]],"d")-TEXT(Tabla_ss2p_pedidos[[#This Row],[fecha_solicitud]],"d"))&gt;=1),1,AA128+1),1)</f>
        <v>20</v>
      </c>
      <c r="AB12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2011201423021072014</v>
      </c>
    </row>
    <row r="130" spans="1:28" x14ac:dyDescent="0.25">
      <c r="A130" s="21">
        <v>5129</v>
      </c>
      <c r="B130" s="21">
        <v>496055</v>
      </c>
      <c r="C130" s="21">
        <v>230</v>
      </c>
      <c r="D130" s="21">
        <v>17</v>
      </c>
      <c r="E130" s="21">
        <v>11</v>
      </c>
      <c r="F130" s="21">
        <v>2014</v>
      </c>
      <c r="G130" s="21" t="s">
        <v>518</v>
      </c>
      <c r="H130" s="21" t="s">
        <v>519</v>
      </c>
      <c r="I130" s="21" t="s">
        <v>520</v>
      </c>
      <c r="J130" s="21" t="s">
        <v>520</v>
      </c>
      <c r="K130" s="21">
        <v>9</v>
      </c>
      <c r="L130" s="21">
        <v>54.97</v>
      </c>
      <c r="M130" s="21" t="s">
        <v>56</v>
      </c>
      <c r="N130" s="21">
        <v>0</v>
      </c>
      <c r="O130" s="21">
        <v>1</v>
      </c>
      <c r="P130" s="21">
        <v>0</v>
      </c>
      <c r="Q130" s="21" t="s">
        <v>52</v>
      </c>
      <c r="R130" s="66">
        <v>41838.352268518516</v>
      </c>
      <c r="S130" s="66" t="s">
        <v>59</v>
      </c>
      <c r="T130" s="66" t="s">
        <v>113</v>
      </c>
      <c r="U130" s="66" t="s">
        <v>53</v>
      </c>
      <c r="V130" s="67">
        <v>0</v>
      </c>
      <c r="W130" s="67" t="s">
        <v>52</v>
      </c>
      <c r="X130" s="68">
        <v>41841.627071759256</v>
      </c>
      <c r="Y130" s="68">
        <v>41841.62841435185</v>
      </c>
      <c r="Z130" s="67">
        <v>0</v>
      </c>
      <c r="AA130" s="67">
        <f>IFERROR(IF(OR(C130&lt;&gt;C129,ABS(TEXT(Tabla_ss2p_pedidos[[#This Row],[fecha_solicitud]],"d")-TEXT(Tabla_ss2p_pedidos[[#This Row],[fecha_solicitud]],"d"))&gt;=1),1,AA129+1),1)</f>
        <v>21</v>
      </c>
      <c r="AB13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2111201423021072014</v>
      </c>
    </row>
    <row r="131" spans="1:28" x14ac:dyDescent="0.25">
      <c r="A131" s="21">
        <v>5153</v>
      </c>
      <c r="B131" s="21">
        <v>494777</v>
      </c>
      <c r="C131" s="21">
        <v>230</v>
      </c>
      <c r="D131" s="21">
        <v>20</v>
      </c>
      <c r="E131" s="21">
        <v>11</v>
      </c>
      <c r="F131" s="21">
        <v>2014</v>
      </c>
      <c r="G131" s="21" t="s">
        <v>531</v>
      </c>
      <c r="H131" s="21" t="s">
        <v>532</v>
      </c>
      <c r="I131" s="21" t="s">
        <v>533</v>
      </c>
      <c r="J131" s="21" t="s">
        <v>52</v>
      </c>
      <c r="K131" s="21">
        <v>9</v>
      </c>
      <c r="L131" s="21">
        <v>36.83</v>
      </c>
      <c r="M131" s="21" t="s">
        <v>87</v>
      </c>
      <c r="N131" s="21">
        <v>0</v>
      </c>
      <c r="O131" s="21">
        <v>1</v>
      </c>
      <c r="P131" s="21">
        <v>0</v>
      </c>
      <c r="Q131" s="21" t="s">
        <v>52</v>
      </c>
      <c r="R131" s="66">
        <v>41838.352280092593</v>
      </c>
      <c r="S131" s="66" t="s">
        <v>59</v>
      </c>
      <c r="T131" s="66" t="s">
        <v>277</v>
      </c>
      <c r="U131" s="66" t="s">
        <v>53</v>
      </c>
      <c r="V131" s="67">
        <v>0</v>
      </c>
      <c r="W131" s="67" t="s">
        <v>52</v>
      </c>
      <c r="X131" s="68">
        <v>41841.631192129629</v>
      </c>
      <c r="Y131" s="68">
        <v>41841.634212962963</v>
      </c>
      <c r="Z131" s="67">
        <v>0</v>
      </c>
      <c r="AA131" s="67">
        <f>IFERROR(IF(OR(C131&lt;&gt;C130,ABS(TEXT(Tabla_ss2p_pedidos[[#This Row],[fecha_solicitud]],"d")-TEXT(Tabla_ss2p_pedidos[[#This Row],[fecha_solicitud]],"d"))&gt;=1),1,AA130+1),1)</f>
        <v>22</v>
      </c>
      <c r="AB13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2211201423021072014</v>
      </c>
    </row>
    <row r="132" spans="1:28" x14ac:dyDescent="0.25">
      <c r="A132" s="21">
        <v>5152</v>
      </c>
      <c r="B132" s="21">
        <v>479987</v>
      </c>
      <c r="C132" s="21">
        <v>230</v>
      </c>
      <c r="D132" s="21">
        <v>20</v>
      </c>
      <c r="E132" s="21">
        <v>11</v>
      </c>
      <c r="F132" s="21">
        <v>2014</v>
      </c>
      <c r="G132" s="21" t="s">
        <v>534</v>
      </c>
      <c r="H132" s="21" t="s">
        <v>535</v>
      </c>
      <c r="I132" s="21" t="s">
        <v>536</v>
      </c>
      <c r="J132" s="21" t="s">
        <v>52</v>
      </c>
      <c r="K132" s="21">
        <v>15</v>
      </c>
      <c r="L132" s="21">
        <v>59.48</v>
      </c>
      <c r="M132" s="21" t="s">
        <v>54</v>
      </c>
      <c r="N132" s="21">
        <v>0</v>
      </c>
      <c r="O132" s="21">
        <v>1</v>
      </c>
      <c r="P132" s="21">
        <v>0</v>
      </c>
      <c r="Q132" s="21" t="s">
        <v>52</v>
      </c>
      <c r="R132" s="66">
        <v>41838.352268518516</v>
      </c>
      <c r="S132" s="66" t="s">
        <v>59</v>
      </c>
      <c r="T132" s="66" t="s">
        <v>277</v>
      </c>
      <c r="U132" s="66" t="s">
        <v>53</v>
      </c>
      <c r="V132" s="67">
        <v>0</v>
      </c>
      <c r="W132" s="67" t="s">
        <v>52</v>
      </c>
      <c r="X132" s="68">
        <v>41841.63140046296</v>
      </c>
      <c r="Y132" s="68">
        <v>41841.634282407409</v>
      </c>
      <c r="Z132" s="67">
        <v>0</v>
      </c>
      <c r="AA132" s="67">
        <f>IFERROR(IF(OR(C132&lt;&gt;C131,ABS(TEXT(Tabla_ss2p_pedidos[[#This Row],[fecha_solicitud]],"d")-TEXT(Tabla_ss2p_pedidos[[#This Row],[fecha_solicitud]],"d"))&gt;=1),1,AA131+1),1)</f>
        <v>23</v>
      </c>
      <c r="AB13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2311201423021072014</v>
      </c>
    </row>
    <row r="133" spans="1:28" x14ac:dyDescent="0.25">
      <c r="A133" s="21">
        <v>5088</v>
      </c>
      <c r="B133" s="21">
        <v>503633</v>
      </c>
      <c r="C133" s="21">
        <v>230</v>
      </c>
      <c r="D133" s="21">
        <v>10</v>
      </c>
      <c r="E133" s="21">
        <v>11</v>
      </c>
      <c r="F133" s="21">
        <v>2014</v>
      </c>
      <c r="G133" s="21" t="s">
        <v>537</v>
      </c>
      <c r="H133" s="21" t="s">
        <v>538</v>
      </c>
      <c r="I133" s="21" t="s">
        <v>539</v>
      </c>
      <c r="J133" s="21" t="s">
        <v>52</v>
      </c>
      <c r="K133" s="21">
        <v>4</v>
      </c>
      <c r="L133" s="21">
        <v>83.57</v>
      </c>
      <c r="M133" s="21" t="s">
        <v>56</v>
      </c>
      <c r="N133" s="21">
        <v>0</v>
      </c>
      <c r="O133" s="21">
        <v>1</v>
      </c>
      <c r="P133" s="21">
        <v>0</v>
      </c>
      <c r="Q133" s="21" t="s">
        <v>52</v>
      </c>
      <c r="R133" s="66">
        <v>41838.352256944447</v>
      </c>
      <c r="S133" s="66" t="s">
        <v>59</v>
      </c>
      <c r="T133" s="66" t="s">
        <v>154</v>
      </c>
      <c r="U133" s="66" t="s">
        <v>53</v>
      </c>
      <c r="V133" s="67">
        <v>0</v>
      </c>
      <c r="W133" s="67" t="s">
        <v>52</v>
      </c>
      <c r="X133" s="68">
        <v>41841.641365740739</v>
      </c>
      <c r="Y133" s="68">
        <v>41841.642962962964</v>
      </c>
      <c r="Z133" s="67">
        <v>0</v>
      </c>
      <c r="AA133" s="67">
        <f>IFERROR(IF(OR(C133&lt;&gt;C132,ABS(TEXT(Tabla_ss2p_pedidos[[#This Row],[fecha_solicitud]],"d")-TEXT(Tabla_ss2p_pedidos[[#This Row],[fecha_solicitud]],"d"))&gt;=1),1,AA132+1),1)</f>
        <v>24</v>
      </c>
      <c r="AB13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2411201423021072014</v>
      </c>
    </row>
    <row r="134" spans="1:28" x14ac:dyDescent="0.25">
      <c r="A134" s="21">
        <v>5086</v>
      </c>
      <c r="B134" s="21">
        <v>484100</v>
      </c>
      <c r="C134" s="21">
        <v>230</v>
      </c>
      <c r="D134" s="21">
        <v>10</v>
      </c>
      <c r="E134" s="21">
        <v>11</v>
      </c>
      <c r="F134" s="21">
        <v>2014</v>
      </c>
      <c r="G134" s="21" t="s">
        <v>540</v>
      </c>
      <c r="H134" s="21" t="s">
        <v>541</v>
      </c>
      <c r="I134" s="21" t="s">
        <v>542</v>
      </c>
      <c r="J134" s="21" t="s">
        <v>52</v>
      </c>
      <c r="K134" s="21">
        <v>13</v>
      </c>
      <c r="L134" s="21">
        <v>47.25</v>
      </c>
      <c r="M134" s="21" t="s">
        <v>134</v>
      </c>
      <c r="N134" s="21">
        <v>0</v>
      </c>
      <c r="O134" s="21">
        <v>1</v>
      </c>
      <c r="P134" s="21">
        <v>0</v>
      </c>
      <c r="Q134" s="21" t="s">
        <v>52</v>
      </c>
      <c r="R134" s="66">
        <v>41838.352256944447</v>
      </c>
      <c r="S134" s="66" t="s">
        <v>59</v>
      </c>
      <c r="T134" s="66" t="s">
        <v>154</v>
      </c>
      <c r="U134" s="66" t="s">
        <v>53</v>
      </c>
      <c r="V134" s="67">
        <v>0</v>
      </c>
      <c r="W134" s="67" t="s">
        <v>52</v>
      </c>
      <c r="X134" s="68">
        <v>41841.641504629632</v>
      </c>
      <c r="Y134" s="68">
        <v>41841.643009259256</v>
      </c>
      <c r="Z134" s="67">
        <v>0</v>
      </c>
      <c r="AA134" s="67">
        <f>IFERROR(IF(OR(C134&lt;&gt;C133,ABS(TEXT(Tabla_ss2p_pedidos[[#This Row],[fecha_solicitud]],"d")-TEXT(Tabla_ss2p_pedidos[[#This Row],[fecha_solicitud]],"d"))&gt;=1),1,AA133+1),1)</f>
        <v>25</v>
      </c>
      <c r="AB13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2511201423021072014</v>
      </c>
    </row>
    <row r="135" spans="1:28" x14ac:dyDescent="0.25">
      <c r="A135" s="21">
        <v>5063</v>
      </c>
      <c r="B135" s="21">
        <v>440271</v>
      </c>
      <c r="C135" s="21">
        <v>230</v>
      </c>
      <c r="D135" s="21">
        <v>8</v>
      </c>
      <c r="E135" s="21">
        <v>11</v>
      </c>
      <c r="F135" s="21">
        <v>2014</v>
      </c>
      <c r="G135" s="21" t="s">
        <v>543</v>
      </c>
      <c r="H135" s="21" t="s">
        <v>544</v>
      </c>
      <c r="I135" s="21" t="s">
        <v>545</v>
      </c>
      <c r="J135" s="21" t="s">
        <v>546</v>
      </c>
      <c r="K135" s="21">
        <v>37</v>
      </c>
      <c r="L135" s="21">
        <v>80.77</v>
      </c>
      <c r="M135" s="21" t="s">
        <v>56</v>
      </c>
      <c r="N135" s="21">
        <v>0</v>
      </c>
      <c r="O135" s="21">
        <v>1</v>
      </c>
      <c r="P135" s="21">
        <v>0</v>
      </c>
      <c r="Q135" s="21" t="s">
        <v>52</v>
      </c>
      <c r="R135" s="66">
        <v>41838.35224537037</v>
      </c>
      <c r="S135" s="66" t="s">
        <v>59</v>
      </c>
      <c r="T135" s="66" t="s">
        <v>277</v>
      </c>
      <c r="U135" s="66" t="s">
        <v>53</v>
      </c>
      <c r="V135" s="67">
        <v>0</v>
      </c>
      <c r="W135" s="67" t="s">
        <v>52</v>
      </c>
      <c r="X135" s="68">
        <v>41841.648321759261</v>
      </c>
      <c r="Y135" s="68">
        <v>41841.650185185186</v>
      </c>
      <c r="Z135" s="67">
        <v>0</v>
      </c>
      <c r="AA135" s="67">
        <f>IFERROR(IF(OR(C135&lt;&gt;C134,ABS(TEXT(Tabla_ss2p_pedidos[[#This Row],[fecha_solicitud]],"d")-TEXT(Tabla_ss2p_pedidos[[#This Row],[fecha_solicitud]],"d"))&gt;=1),1,AA134+1),1)</f>
        <v>26</v>
      </c>
      <c r="AB13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2611201423021072014</v>
      </c>
    </row>
    <row r="136" spans="1:28" x14ac:dyDescent="0.25">
      <c r="A136" s="21">
        <v>5034</v>
      </c>
      <c r="B136" s="21">
        <v>471337</v>
      </c>
      <c r="C136" s="21">
        <v>230</v>
      </c>
      <c r="D136" s="21">
        <v>2</v>
      </c>
      <c r="E136" s="21">
        <v>11</v>
      </c>
      <c r="F136" s="21">
        <v>2014</v>
      </c>
      <c r="G136" s="21" t="s">
        <v>547</v>
      </c>
      <c r="H136" s="21" t="s">
        <v>548</v>
      </c>
      <c r="I136" s="21" t="s">
        <v>549</v>
      </c>
      <c r="J136" s="21" t="s">
        <v>549</v>
      </c>
      <c r="K136" s="21">
        <v>20</v>
      </c>
      <c r="L136" s="21">
        <v>67.17</v>
      </c>
      <c r="M136" s="21" t="s">
        <v>56</v>
      </c>
      <c r="N136" s="21">
        <v>0</v>
      </c>
      <c r="O136" s="21">
        <v>1</v>
      </c>
      <c r="P136" s="21">
        <v>0</v>
      </c>
      <c r="Q136" s="21" t="s">
        <v>52</v>
      </c>
      <c r="R136" s="66">
        <v>41838.35224537037</v>
      </c>
      <c r="S136" s="66" t="s">
        <v>59</v>
      </c>
      <c r="T136" s="66" t="s">
        <v>113</v>
      </c>
      <c r="U136" s="66" t="s">
        <v>53</v>
      </c>
      <c r="V136" s="67">
        <v>0</v>
      </c>
      <c r="W136" s="67" t="s">
        <v>52</v>
      </c>
      <c r="X136" s="68">
        <v>41841.664166666669</v>
      </c>
      <c r="Y136" s="68">
        <v>41841.666388888887</v>
      </c>
      <c r="Z136" s="67">
        <v>0</v>
      </c>
      <c r="AA136" s="67">
        <f>IFERROR(IF(OR(C136&lt;&gt;C135,ABS(TEXT(Tabla_ss2p_pedidos[[#This Row],[fecha_solicitud]],"d")-TEXT(Tabla_ss2p_pedidos[[#This Row],[fecha_solicitud]],"d"))&gt;=1),1,AA135+1),1)</f>
        <v>27</v>
      </c>
      <c r="AB13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2711201423021072014</v>
      </c>
    </row>
    <row r="137" spans="1:28" x14ac:dyDescent="0.25">
      <c r="A137" s="21">
        <v>5026</v>
      </c>
      <c r="B137" s="21">
        <v>503774</v>
      </c>
      <c r="C137" s="21">
        <v>230</v>
      </c>
      <c r="D137" s="21">
        <v>2</v>
      </c>
      <c r="E137" s="21">
        <v>11</v>
      </c>
      <c r="F137" s="21">
        <v>2014</v>
      </c>
      <c r="G137" s="21" t="s">
        <v>550</v>
      </c>
      <c r="H137" s="21" t="s">
        <v>551</v>
      </c>
      <c r="I137" s="21" t="s">
        <v>552</v>
      </c>
      <c r="J137" s="21" t="s">
        <v>552</v>
      </c>
      <c r="K137" s="21">
        <v>4</v>
      </c>
      <c r="L137" s="21">
        <v>77.02</v>
      </c>
      <c r="M137" s="21" t="s">
        <v>54</v>
      </c>
      <c r="N137" s="21">
        <v>0</v>
      </c>
      <c r="O137" s="21">
        <v>1</v>
      </c>
      <c r="P137" s="21">
        <v>0</v>
      </c>
      <c r="Q137" s="21" t="s">
        <v>52</v>
      </c>
      <c r="R137" s="66">
        <v>41838.352233796293</v>
      </c>
      <c r="S137" s="66" t="s">
        <v>59</v>
      </c>
      <c r="T137" s="66" t="s">
        <v>113</v>
      </c>
      <c r="U137" s="66" t="s">
        <v>53</v>
      </c>
      <c r="V137" s="67">
        <v>0</v>
      </c>
      <c r="W137" s="67" t="s">
        <v>52</v>
      </c>
      <c r="X137" s="68">
        <v>41841.664270833331</v>
      </c>
      <c r="Y137" s="68">
        <v>41841.666435185187</v>
      </c>
      <c r="Z137" s="67">
        <v>0</v>
      </c>
      <c r="AA137" s="67">
        <f>IFERROR(IF(OR(C137&lt;&gt;C136,ABS(TEXT(Tabla_ss2p_pedidos[[#This Row],[fecha_solicitud]],"d")-TEXT(Tabla_ss2p_pedidos[[#This Row],[fecha_solicitud]],"d"))&gt;=1),1,AA136+1),1)</f>
        <v>28</v>
      </c>
      <c r="AB13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2811201423021072014</v>
      </c>
    </row>
    <row r="138" spans="1:28" x14ac:dyDescent="0.25">
      <c r="A138" s="21">
        <v>5030</v>
      </c>
      <c r="B138" s="21">
        <v>503770</v>
      </c>
      <c r="C138" s="21">
        <v>230</v>
      </c>
      <c r="D138" s="21">
        <v>2</v>
      </c>
      <c r="E138" s="21">
        <v>11</v>
      </c>
      <c r="F138" s="21">
        <v>2014</v>
      </c>
      <c r="G138" s="21" t="s">
        <v>553</v>
      </c>
      <c r="H138" s="21" t="s">
        <v>554</v>
      </c>
      <c r="I138" s="21" t="s">
        <v>555</v>
      </c>
      <c r="J138" s="21" t="s">
        <v>555</v>
      </c>
      <c r="K138" s="21">
        <v>4</v>
      </c>
      <c r="L138" s="21">
        <v>71.489999999999995</v>
      </c>
      <c r="M138" s="21" t="s">
        <v>54</v>
      </c>
      <c r="N138" s="21">
        <v>0</v>
      </c>
      <c r="O138" s="21">
        <v>1</v>
      </c>
      <c r="P138" s="21">
        <v>0</v>
      </c>
      <c r="Q138" s="21" t="s">
        <v>52</v>
      </c>
      <c r="R138" s="66">
        <v>41838.35224537037</v>
      </c>
      <c r="S138" s="66" t="s">
        <v>59</v>
      </c>
      <c r="T138" s="66" t="s">
        <v>113</v>
      </c>
      <c r="U138" s="66" t="s">
        <v>53</v>
      </c>
      <c r="V138" s="67">
        <v>0</v>
      </c>
      <c r="W138" s="67" t="s">
        <v>52</v>
      </c>
      <c r="X138" s="68">
        <v>41841.671967592592</v>
      </c>
      <c r="Y138" s="68">
        <v>41841.672314814816</v>
      </c>
      <c r="Z138" s="67">
        <v>0</v>
      </c>
      <c r="AA138" s="67">
        <f>IFERROR(IF(OR(C138&lt;&gt;C137,ABS(TEXT(Tabla_ss2p_pedidos[[#This Row],[fecha_solicitud]],"d")-TEXT(Tabla_ss2p_pedidos[[#This Row],[fecha_solicitud]],"d"))&gt;=1),1,AA137+1),1)</f>
        <v>29</v>
      </c>
      <c r="AB13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2911201423021072014</v>
      </c>
    </row>
    <row r="139" spans="1:28" x14ac:dyDescent="0.25">
      <c r="A139" s="21">
        <v>5103</v>
      </c>
      <c r="B139" s="21">
        <v>471344</v>
      </c>
      <c r="C139" s="21">
        <v>230</v>
      </c>
      <c r="D139" s="21">
        <v>13</v>
      </c>
      <c r="E139" s="21">
        <v>11</v>
      </c>
      <c r="F139" s="21">
        <v>2014</v>
      </c>
      <c r="G139" s="21" t="s">
        <v>556</v>
      </c>
      <c r="H139" s="21" t="s">
        <v>557</v>
      </c>
      <c r="I139" s="21" t="s">
        <v>558</v>
      </c>
      <c r="J139" s="21" t="s">
        <v>559</v>
      </c>
      <c r="K139" s="21">
        <v>17</v>
      </c>
      <c r="L139" s="21">
        <v>54.74</v>
      </c>
      <c r="M139" s="21" t="s">
        <v>58</v>
      </c>
      <c r="N139" s="21">
        <v>3.7425000000000002</v>
      </c>
      <c r="O139" s="21">
        <v>1</v>
      </c>
      <c r="P139" s="21">
        <v>0</v>
      </c>
      <c r="Q139" s="21" t="s">
        <v>52</v>
      </c>
      <c r="R139" s="66">
        <v>41838.352256944447</v>
      </c>
      <c r="S139" s="66" t="s">
        <v>59</v>
      </c>
      <c r="T139" s="66" t="s">
        <v>560</v>
      </c>
      <c r="U139" s="66" t="s">
        <v>53</v>
      </c>
      <c r="V139" s="67"/>
      <c r="W139" s="67" t="s">
        <v>52</v>
      </c>
      <c r="X139" s="68">
        <v>41841.700462962966</v>
      </c>
      <c r="Y139" s="68">
        <v>41841.773993055554</v>
      </c>
      <c r="Z139" s="67">
        <v>2</v>
      </c>
      <c r="AA139" s="67">
        <f>IFERROR(IF(OR(C139&lt;&gt;C138,ABS(TEXT(Tabla_ss2p_pedidos[[#This Row],[fecha_solicitud]],"d")-TEXT(Tabla_ss2p_pedidos[[#This Row],[fecha_solicitud]],"d"))&gt;=1),1,AA138+1),1)</f>
        <v>30</v>
      </c>
      <c r="AB13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3011201423021072014</v>
      </c>
    </row>
    <row r="140" spans="1:28" x14ac:dyDescent="0.25">
      <c r="A140" s="21">
        <v>3662</v>
      </c>
      <c r="B140" s="21">
        <v>366900</v>
      </c>
      <c r="C140" s="21">
        <v>233</v>
      </c>
      <c r="D140" s="21">
        <v>12</v>
      </c>
      <c r="E140" s="21">
        <v>11</v>
      </c>
      <c r="F140" s="21">
        <v>2014</v>
      </c>
      <c r="G140" s="21" t="s">
        <v>561</v>
      </c>
      <c r="H140" s="21" t="s">
        <v>562</v>
      </c>
      <c r="I140" s="21" t="s">
        <v>563</v>
      </c>
      <c r="J140" s="21" t="s">
        <v>563</v>
      </c>
      <c r="K140" s="21">
        <v>74</v>
      </c>
      <c r="L140" s="21">
        <v>101.67</v>
      </c>
      <c r="M140" s="21" t="s">
        <v>56</v>
      </c>
      <c r="N140" s="21">
        <v>0</v>
      </c>
      <c r="O140" s="21">
        <v>1</v>
      </c>
      <c r="P140" s="21">
        <v>0</v>
      </c>
      <c r="Q140" s="21" t="s">
        <v>52</v>
      </c>
      <c r="R140" s="66">
        <v>41832.397662037038</v>
      </c>
      <c r="S140" s="66" t="s">
        <v>59</v>
      </c>
      <c r="T140" s="66" t="s">
        <v>174</v>
      </c>
      <c r="U140" s="66" t="s">
        <v>53</v>
      </c>
      <c r="V140" s="67">
        <v>101.67</v>
      </c>
      <c r="W140" s="67" t="s">
        <v>52</v>
      </c>
      <c r="X140" s="68">
        <v>41841.594201388885</v>
      </c>
      <c r="Y140" s="68">
        <v>41841.600763888891</v>
      </c>
      <c r="Z140" s="67">
        <v>0</v>
      </c>
      <c r="AA140" s="67">
        <f>IFERROR(IF(OR(C140&lt;&gt;C139,ABS(TEXT(Tabla_ss2p_pedidos[[#This Row],[fecha_solicitud]],"d")-TEXT(Tabla_ss2p_pedidos[[#This Row],[fecha_solicitud]],"d"))&gt;=1),1,AA139+1),1)</f>
        <v>1</v>
      </c>
      <c r="AB14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111201423321072014</v>
      </c>
    </row>
    <row r="141" spans="1:28" x14ac:dyDescent="0.25">
      <c r="A141" s="21">
        <v>3609</v>
      </c>
      <c r="B141" s="21">
        <v>31353</v>
      </c>
      <c r="C141" s="21">
        <v>233</v>
      </c>
      <c r="D141" s="21">
        <v>1</v>
      </c>
      <c r="E141" s="21">
        <v>11</v>
      </c>
      <c r="F141" s="21">
        <v>2014</v>
      </c>
      <c r="G141" s="21" t="s">
        <v>567</v>
      </c>
      <c r="H141" s="21" t="s">
        <v>568</v>
      </c>
      <c r="I141" s="21" t="s">
        <v>569</v>
      </c>
      <c r="J141" s="21" t="s">
        <v>570</v>
      </c>
      <c r="K141" s="21">
        <v>157</v>
      </c>
      <c r="L141" s="21">
        <v>94.54</v>
      </c>
      <c r="M141" s="21" t="s">
        <v>54</v>
      </c>
      <c r="N141" s="21">
        <v>0</v>
      </c>
      <c r="O141" s="21">
        <v>1</v>
      </c>
      <c r="P141" s="21">
        <v>0</v>
      </c>
      <c r="Q141" s="21" t="s">
        <v>52</v>
      </c>
      <c r="R141" s="66">
        <v>41832.397650462961</v>
      </c>
      <c r="S141" s="66" t="s">
        <v>372</v>
      </c>
      <c r="T141" s="66" t="s">
        <v>174</v>
      </c>
      <c r="U141" s="66" t="s">
        <v>53</v>
      </c>
      <c r="V141" s="67">
        <v>0</v>
      </c>
      <c r="W141" s="67" t="s">
        <v>52</v>
      </c>
      <c r="X141" s="68">
        <v>41841.59883101852</v>
      </c>
      <c r="Y141" s="68">
        <v>41841.60596064815</v>
      </c>
      <c r="Z141" s="67">
        <v>0</v>
      </c>
      <c r="AA141" s="67">
        <f>IFERROR(IF(OR(C141&lt;&gt;C140,ABS(TEXT(Tabla_ss2p_pedidos[[#This Row],[fecha_solicitud]],"d")-TEXT(Tabla_ss2p_pedidos[[#This Row],[fecha_solicitud]],"d"))&gt;=1),1,AA140+1),1)</f>
        <v>2</v>
      </c>
      <c r="AB14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211201423321072014</v>
      </c>
    </row>
    <row r="142" spans="1:28" x14ac:dyDescent="0.25">
      <c r="A142" s="21">
        <v>3661</v>
      </c>
      <c r="B142" s="21">
        <v>477258</v>
      </c>
      <c r="C142" s="21">
        <v>233</v>
      </c>
      <c r="D142" s="21">
        <v>12</v>
      </c>
      <c r="E142" s="21">
        <v>11</v>
      </c>
      <c r="F142" s="21">
        <v>2014</v>
      </c>
      <c r="G142" s="21" t="s">
        <v>564</v>
      </c>
      <c r="H142" s="21" t="s">
        <v>565</v>
      </c>
      <c r="I142" s="21" t="s">
        <v>52</v>
      </c>
      <c r="J142" s="21" t="s">
        <v>566</v>
      </c>
      <c r="K142" s="21">
        <v>13</v>
      </c>
      <c r="L142" s="21">
        <v>79.28</v>
      </c>
      <c r="M142" s="21" t="s">
        <v>56</v>
      </c>
      <c r="N142" s="21">
        <v>0</v>
      </c>
      <c r="O142" s="21">
        <v>1</v>
      </c>
      <c r="P142" s="21">
        <v>0</v>
      </c>
      <c r="Q142" s="21" t="s">
        <v>52</v>
      </c>
      <c r="R142" s="66">
        <v>41832.397662037038</v>
      </c>
      <c r="S142" s="66" t="s">
        <v>372</v>
      </c>
      <c r="T142" s="66" t="s">
        <v>174</v>
      </c>
      <c r="U142" s="66" t="s">
        <v>53</v>
      </c>
      <c r="V142" s="67">
        <v>0</v>
      </c>
      <c r="W142" s="67" t="s">
        <v>52</v>
      </c>
      <c r="X142" s="68">
        <v>41841.604317129626</v>
      </c>
      <c r="Y142" s="68">
        <v>41841.605775462966</v>
      </c>
      <c r="Z142" s="67">
        <v>0</v>
      </c>
      <c r="AA142" s="67">
        <f>IFERROR(IF(OR(C142&lt;&gt;C141,ABS(TEXT(Tabla_ss2p_pedidos[[#This Row],[fecha_solicitud]],"d")-TEXT(Tabla_ss2p_pedidos[[#This Row],[fecha_solicitud]],"d"))&gt;=1),1,AA141+1),1)</f>
        <v>3</v>
      </c>
      <c r="AB14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311201423321072014</v>
      </c>
    </row>
    <row r="143" spans="1:28" x14ac:dyDescent="0.25">
      <c r="A143" s="21">
        <v>3654</v>
      </c>
      <c r="B143" s="21">
        <v>499563</v>
      </c>
      <c r="C143" s="21">
        <v>233</v>
      </c>
      <c r="D143" s="21">
        <v>10</v>
      </c>
      <c r="E143" s="21">
        <v>11</v>
      </c>
      <c r="F143" s="21">
        <v>2014</v>
      </c>
      <c r="G143" s="21" t="s">
        <v>571</v>
      </c>
      <c r="H143" s="21" t="s">
        <v>572</v>
      </c>
      <c r="I143" s="21" t="s">
        <v>573</v>
      </c>
      <c r="J143" s="21" t="s">
        <v>573</v>
      </c>
      <c r="K143" s="21">
        <v>6</v>
      </c>
      <c r="L143" s="21">
        <v>45.81</v>
      </c>
      <c r="M143" s="21" t="s">
        <v>56</v>
      </c>
      <c r="N143" s="21">
        <v>0</v>
      </c>
      <c r="O143" s="21">
        <v>1</v>
      </c>
      <c r="P143" s="21">
        <v>0</v>
      </c>
      <c r="Q143" s="21" t="s">
        <v>52</v>
      </c>
      <c r="R143" s="66">
        <v>41832.397662037038</v>
      </c>
      <c r="S143" s="66" t="s">
        <v>372</v>
      </c>
      <c r="T143" s="66" t="s">
        <v>174</v>
      </c>
      <c r="U143" s="66" t="s">
        <v>53</v>
      </c>
      <c r="V143" s="67">
        <v>0</v>
      </c>
      <c r="W143" s="67" t="s">
        <v>52</v>
      </c>
      <c r="X143" s="68">
        <v>41841.604444444441</v>
      </c>
      <c r="Y143" s="68">
        <v>41841.606111111112</v>
      </c>
      <c r="Z143" s="67">
        <v>0</v>
      </c>
      <c r="AA143" s="67">
        <f>IFERROR(IF(OR(C143&lt;&gt;C142,ABS(TEXT(Tabla_ss2p_pedidos[[#This Row],[fecha_solicitud]],"d")-TEXT(Tabla_ss2p_pedidos[[#This Row],[fecha_solicitud]],"d"))&gt;=1),1,AA142+1),1)</f>
        <v>4</v>
      </c>
      <c r="AB14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411201423321072014</v>
      </c>
    </row>
    <row r="144" spans="1:28" x14ac:dyDescent="0.25">
      <c r="A144" s="21">
        <v>3681</v>
      </c>
      <c r="B144" s="21">
        <v>502720</v>
      </c>
      <c r="C144" s="21">
        <v>233</v>
      </c>
      <c r="D144" s="21">
        <v>17</v>
      </c>
      <c r="E144" s="21">
        <v>11</v>
      </c>
      <c r="F144" s="21">
        <v>2014</v>
      </c>
      <c r="G144" s="21" t="s">
        <v>574</v>
      </c>
      <c r="H144" s="21" t="s">
        <v>575</v>
      </c>
      <c r="I144" s="21" t="s">
        <v>576</v>
      </c>
      <c r="J144" s="21" t="s">
        <v>52</v>
      </c>
      <c r="K144" s="21">
        <v>4</v>
      </c>
      <c r="L144" s="21">
        <v>65.150000000000006</v>
      </c>
      <c r="M144" s="21" t="s">
        <v>54</v>
      </c>
      <c r="N144" s="21">
        <v>0</v>
      </c>
      <c r="O144" s="21">
        <v>1</v>
      </c>
      <c r="P144" s="21">
        <v>0</v>
      </c>
      <c r="Q144" s="21" t="s">
        <v>52</v>
      </c>
      <c r="R144" s="66">
        <v>41832.397662037038</v>
      </c>
      <c r="S144" s="66" t="s">
        <v>372</v>
      </c>
      <c r="T144" s="66" t="s">
        <v>174</v>
      </c>
      <c r="U144" s="66" t="s">
        <v>53</v>
      </c>
      <c r="V144" s="67">
        <v>0</v>
      </c>
      <c r="W144" s="67" t="s">
        <v>52</v>
      </c>
      <c r="X144" s="68">
        <v>41841.604583333334</v>
      </c>
      <c r="Y144" s="68">
        <v>41841.608599537038</v>
      </c>
      <c r="Z144" s="67">
        <v>0</v>
      </c>
      <c r="AA144" s="67">
        <f>IFERROR(IF(OR(C144&lt;&gt;C143,ABS(TEXT(Tabla_ss2p_pedidos[[#This Row],[fecha_solicitud]],"d")-TEXT(Tabla_ss2p_pedidos[[#This Row],[fecha_solicitud]],"d"))&gt;=1),1,AA143+1),1)</f>
        <v>5</v>
      </c>
      <c r="AB14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511201423321072014</v>
      </c>
    </row>
    <row r="145" spans="1:28" x14ac:dyDescent="0.25">
      <c r="A145" s="21">
        <v>3687</v>
      </c>
      <c r="B145" s="21">
        <v>423628</v>
      </c>
      <c r="C145" s="21">
        <v>233</v>
      </c>
      <c r="D145" s="21">
        <v>17</v>
      </c>
      <c r="E145" s="21">
        <v>11</v>
      </c>
      <c r="F145" s="21">
        <v>2014</v>
      </c>
      <c r="G145" s="21" t="s">
        <v>577</v>
      </c>
      <c r="H145" s="21" t="s">
        <v>578</v>
      </c>
      <c r="I145" s="21" t="s">
        <v>579</v>
      </c>
      <c r="J145" s="21" t="s">
        <v>579</v>
      </c>
      <c r="K145" s="21">
        <v>44</v>
      </c>
      <c r="L145" s="21">
        <v>41.57</v>
      </c>
      <c r="M145" s="21" t="s">
        <v>56</v>
      </c>
      <c r="N145" s="21">
        <v>0</v>
      </c>
      <c r="O145" s="21">
        <v>1</v>
      </c>
      <c r="P145" s="21">
        <v>0</v>
      </c>
      <c r="Q145" s="21" t="s">
        <v>52</v>
      </c>
      <c r="R145" s="66">
        <v>41832.397673611114</v>
      </c>
      <c r="S145" s="66" t="s">
        <v>372</v>
      </c>
      <c r="T145" s="66" t="s">
        <v>174</v>
      </c>
      <c r="U145" s="66" t="s">
        <v>53</v>
      </c>
      <c r="V145" s="67">
        <v>0</v>
      </c>
      <c r="W145" s="67" t="s">
        <v>52</v>
      </c>
      <c r="X145" s="68">
        <v>41841.692349537036</v>
      </c>
      <c r="Y145" s="68">
        <v>41841.701724537037</v>
      </c>
      <c r="Z145" s="67">
        <v>0</v>
      </c>
      <c r="AA145" s="67">
        <f>IFERROR(IF(OR(C145&lt;&gt;C144,ABS(TEXT(Tabla_ss2p_pedidos[[#This Row],[fecha_solicitud]],"d")-TEXT(Tabla_ss2p_pedidos[[#This Row],[fecha_solicitud]],"d"))&gt;=1),1,AA144+1),1)</f>
        <v>6</v>
      </c>
      <c r="AB14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611201423321072014</v>
      </c>
    </row>
    <row r="146" spans="1:28" x14ac:dyDescent="0.25">
      <c r="A146" s="21">
        <v>4730</v>
      </c>
      <c r="B146" s="21">
        <v>414206</v>
      </c>
      <c r="C146" s="21">
        <v>234</v>
      </c>
      <c r="D146" s="21">
        <v>15</v>
      </c>
      <c r="E146" s="21">
        <v>11</v>
      </c>
      <c r="F146" s="21">
        <v>2014</v>
      </c>
      <c r="G146" s="21" t="s">
        <v>67</v>
      </c>
      <c r="H146" s="21" t="s">
        <v>68</v>
      </c>
      <c r="I146" s="21" t="s">
        <v>52</v>
      </c>
      <c r="J146" s="21" t="s">
        <v>69</v>
      </c>
      <c r="K146" s="21">
        <v>45</v>
      </c>
      <c r="L146" s="21">
        <v>61.74</v>
      </c>
      <c r="M146" s="21" t="s">
        <v>54</v>
      </c>
      <c r="N146" s="21">
        <v>0</v>
      </c>
      <c r="O146" s="21">
        <v>1</v>
      </c>
      <c r="P146" s="21">
        <v>0</v>
      </c>
      <c r="Q146" s="21" t="s">
        <v>52</v>
      </c>
      <c r="R146" s="66">
        <v>41836.51090277778</v>
      </c>
      <c r="S146" s="66" t="s">
        <v>65</v>
      </c>
      <c r="T146" s="66" t="s">
        <v>66</v>
      </c>
      <c r="U146" s="66" t="s">
        <v>53</v>
      </c>
      <c r="V146" s="67">
        <v>0</v>
      </c>
      <c r="W146" s="67" t="s">
        <v>52</v>
      </c>
      <c r="X146" s="68">
        <v>41841.393888888888</v>
      </c>
      <c r="Y146" s="68">
        <v>41841.394444444442</v>
      </c>
      <c r="Z146" s="67">
        <v>0</v>
      </c>
      <c r="AA146" s="67">
        <f>IFERROR(IF(OR(C146&lt;&gt;C145,ABS(TEXT(Tabla_ss2p_pedidos[[#This Row],[fecha_solicitud]],"d")-TEXT(Tabla_ss2p_pedidos[[#This Row],[fecha_solicitud]],"d"))&gt;=1),1,AA145+1),1)</f>
        <v>1</v>
      </c>
      <c r="AB14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111201423421072014</v>
      </c>
    </row>
    <row r="147" spans="1:28" x14ac:dyDescent="0.25">
      <c r="A147" s="21">
        <v>4735</v>
      </c>
      <c r="B147" s="21">
        <v>471457</v>
      </c>
      <c r="C147" s="21">
        <v>234</v>
      </c>
      <c r="D147" s="21">
        <v>16</v>
      </c>
      <c r="E147" s="21">
        <v>11</v>
      </c>
      <c r="F147" s="21">
        <v>2014</v>
      </c>
      <c r="G147" s="21" t="s">
        <v>161</v>
      </c>
      <c r="H147" s="21" t="s">
        <v>162</v>
      </c>
      <c r="I147" s="21" t="s">
        <v>163</v>
      </c>
      <c r="J147" s="21" t="s">
        <v>163</v>
      </c>
      <c r="K147" s="21">
        <v>20</v>
      </c>
      <c r="L147" s="21">
        <v>38.36</v>
      </c>
      <c r="M147" s="21" t="s">
        <v>54</v>
      </c>
      <c r="N147" s="21">
        <v>0</v>
      </c>
      <c r="O147" s="21">
        <v>1</v>
      </c>
      <c r="P147" s="21">
        <v>0</v>
      </c>
      <c r="Q147" s="21" t="s">
        <v>52</v>
      </c>
      <c r="R147" s="66">
        <v>41836.51090277778</v>
      </c>
      <c r="S147" s="66" t="s">
        <v>65</v>
      </c>
      <c r="T147" s="66" t="s">
        <v>66</v>
      </c>
      <c r="U147" s="66" t="s">
        <v>53</v>
      </c>
      <c r="V147" s="67">
        <v>0</v>
      </c>
      <c r="W147" s="67" t="s">
        <v>52</v>
      </c>
      <c r="X147" s="68">
        <v>41841.436388888891</v>
      </c>
      <c r="Y147" s="68">
        <v>41841.453009259261</v>
      </c>
      <c r="Z147" s="67">
        <v>0</v>
      </c>
      <c r="AA147" s="67">
        <f>IFERROR(IF(OR(C147&lt;&gt;C146,ABS(TEXT(Tabla_ss2p_pedidos[[#This Row],[fecha_solicitud]],"d")-TEXT(Tabla_ss2p_pedidos[[#This Row],[fecha_solicitud]],"d"))&gt;=1),1,AA146+1),1)</f>
        <v>2</v>
      </c>
      <c r="AB14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211201423421072014</v>
      </c>
    </row>
    <row r="148" spans="1:28" x14ac:dyDescent="0.25">
      <c r="A148" s="21">
        <v>4670</v>
      </c>
      <c r="B148" s="21">
        <v>34623</v>
      </c>
      <c r="C148" s="21">
        <v>234</v>
      </c>
      <c r="D148" s="21">
        <v>5</v>
      </c>
      <c r="E148" s="21">
        <v>11</v>
      </c>
      <c r="F148" s="21">
        <v>2014</v>
      </c>
      <c r="G148" s="21" t="s">
        <v>164</v>
      </c>
      <c r="H148" s="21" t="s">
        <v>165</v>
      </c>
      <c r="I148" s="21" t="s">
        <v>166</v>
      </c>
      <c r="J148" s="21" t="s">
        <v>167</v>
      </c>
      <c r="K148" s="21">
        <v>149</v>
      </c>
      <c r="L148" s="21">
        <v>44.74</v>
      </c>
      <c r="M148" s="21" t="s">
        <v>58</v>
      </c>
      <c r="N148" s="21">
        <v>0</v>
      </c>
      <c r="O148" s="21">
        <v>1</v>
      </c>
      <c r="P148" s="21">
        <v>0</v>
      </c>
      <c r="Q148" s="21" t="s">
        <v>52</v>
      </c>
      <c r="R148" s="66">
        <v>41836.510879629626</v>
      </c>
      <c r="S148" s="66" t="s">
        <v>59</v>
      </c>
      <c r="T148" s="66" t="s">
        <v>66</v>
      </c>
      <c r="U148" s="66" t="s">
        <v>53</v>
      </c>
      <c r="V148" s="67">
        <v>0</v>
      </c>
      <c r="W148" s="67" t="s">
        <v>52</v>
      </c>
      <c r="X148" s="68">
        <v>41841.436527777776</v>
      </c>
      <c r="Y148" s="68">
        <v>41841.453229166669</v>
      </c>
      <c r="Z148" s="67">
        <v>0</v>
      </c>
      <c r="AA148" s="67">
        <f>IFERROR(IF(OR(C148&lt;&gt;C147,ABS(TEXT(Tabla_ss2p_pedidos[[#This Row],[fecha_solicitud]],"d")-TEXT(Tabla_ss2p_pedidos[[#This Row],[fecha_solicitud]],"d"))&gt;=1),1,AA147+1),1)</f>
        <v>3</v>
      </c>
      <c r="AB14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311201423421072014</v>
      </c>
    </row>
    <row r="149" spans="1:28" x14ac:dyDescent="0.25">
      <c r="A149" s="21">
        <v>4743</v>
      </c>
      <c r="B149" s="21">
        <v>501164</v>
      </c>
      <c r="C149" s="21">
        <v>234</v>
      </c>
      <c r="D149" s="21">
        <v>17</v>
      </c>
      <c r="E149" s="21">
        <v>11</v>
      </c>
      <c r="F149" s="21">
        <v>2014</v>
      </c>
      <c r="G149" s="21" t="s">
        <v>587</v>
      </c>
      <c r="H149" s="21" t="s">
        <v>588</v>
      </c>
      <c r="I149" s="21" t="s">
        <v>589</v>
      </c>
      <c r="J149" s="21" t="s">
        <v>52</v>
      </c>
      <c r="K149" s="21">
        <v>5</v>
      </c>
      <c r="L149" s="21">
        <v>115.28</v>
      </c>
      <c r="M149" s="21" t="s">
        <v>56</v>
      </c>
      <c r="N149" s="21">
        <v>0</v>
      </c>
      <c r="O149" s="21">
        <v>1</v>
      </c>
      <c r="P149" s="21">
        <v>0</v>
      </c>
      <c r="Q149" s="21" t="s">
        <v>52</v>
      </c>
      <c r="R149" s="66">
        <v>41836.51090277778</v>
      </c>
      <c r="S149" s="66" t="s">
        <v>590</v>
      </c>
      <c r="T149" s="66" t="s">
        <v>66</v>
      </c>
      <c r="U149" s="66" t="s">
        <v>53</v>
      </c>
      <c r="V149" s="67">
        <v>0</v>
      </c>
      <c r="W149" s="67" t="s">
        <v>52</v>
      </c>
      <c r="X149" s="68">
        <v>41841.592002314814</v>
      </c>
      <c r="Y149" s="68">
        <v>41841.600983796299</v>
      </c>
      <c r="Z149" s="67">
        <v>0</v>
      </c>
      <c r="AA149" s="67">
        <f>IFERROR(IF(OR(C149&lt;&gt;C148,ABS(TEXT(Tabla_ss2p_pedidos[[#This Row],[fecha_solicitud]],"d")-TEXT(Tabla_ss2p_pedidos[[#This Row],[fecha_solicitud]],"d"))&gt;=1),1,AA148+1),1)</f>
        <v>4</v>
      </c>
      <c r="AB14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411201423421072014</v>
      </c>
    </row>
    <row r="150" spans="1:28" x14ac:dyDescent="0.25">
      <c r="A150" s="21">
        <v>4695</v>
      </c>
      <c r="B150" s="21">
        <v>485257</v>
      </c>
      <c r="C150" s="21">
        <v>234</v>
      </c>
      <c r="D150" s="21">
        <v>10</v>
      </c>
      <c r="E150" s="21">
        <v>11</v>
      </c>
      <c r="F150" s="21">
        <v>2014</v>
      </c>
      <c r="G150" s="21" t="s">
        <v>580</v>
      </c>
      <c r="H150" s="21" t="s">
        <v>581</v>
      </c>
      <c r="I150" s="21" t="s">
        <v>52</v>
      </c>
      <c r="J150" s="21" t="s">
        <v>52</v>
      </c>
      <c r="K150" s="21">
        <v>14</v>
      </c>
      <c r="L150" s="21">
        <v>55.9</v>
      </c>
      <c r="M150" s="21" t="s">
        <v>54</v>
      </c>
      <c r="N150" s="21">
        <v>0</v>
      </c>
      <c r="O150" s="21">
        <v>2</v>
      </c>
      <c r="P150" s="21">
        <v>0</v>
      </c>
      <c r="Q150" s="21" t="s">
        <v>52</v>
      </c>
      <c r="R150" s="66">
        <v>41836.510891203703</v>
      </c>
      <c r="S150" s="66" t="s">
        <v>582</v>
      </c>
      <c r="T150" s="66" t="s">
        <v>66</v>
      </c>
      <c r="U150" s="66" t="s">
        <v>53</v>
      </c>
      <c r="V150" s="67">
        <v>0</v>
      </c>
      <c r="W150" s="67" t="s">
        <v>52</v>
      </c>
      <c r="X150" s="68">
        <v>41841.594722222224</v>
      </c>
      <c r="Y150" s="68">
        <v>41841.600578703707</v>
      </c>
      <c r="Z150" s="67">
        <v>0</v>
      </c>
      <c r="AA150" s="67">
        <f>IFERROR(IF(OR(C150&lt;&gt;C149,ABS(TEXT(Tabla_ss2p_pedidos[[#This Row],[fecha_solicitud]],"d")-TEXT(Tabla_ss2p_pedidos[[#This Row],[fecha_solicitud]],"d"))&gt;=1),1,AA149+1),1)</f>
        <v>5</v>
      </c>
      <c r="AB15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511201423421072014</v>
      </c>
    </row>
    <row r="151" spans="1:28" x14ac:dyDescent="0.25">
      <c r="A151" s="21">
        <v>4697</v>
      </c>
      <c r="B151" s="21">
        <v>478679</v>
      </c>
      <c r="C151" s="21">
        <v>234</v>
      </c>
      <c r="D151" s="21">
        <v>10</v>
      </c>
      <c r="E151" s="21">
        <v>11</v>
      </c>
      <c r="F151" s="21">
        <v>2014</v>
      </c>
      <c r="G151" s="21" t="s">
        <v>583</v>
      </c>
      <c r="H151" s="21" t="s">
        <v>584</v>
      </c>
      <c r="I151" s="21" t="s">
        <v>52</v>
      </c>
      <c r="J151" s="21" t="s">
        <v>585</v>
      </c>
      <c r="K151" s="21">
        <v>16</v>
      </c>
      <c r="L151" s="21">
        <v>34.15</v>
      </c>
      <c r="M151" s="21" t="s">
        <v>58</v>
      </c>
      <c r="N151" s="21">
        <v>0</v>
      </c>
      <c r="O151" s="21">
        <v>1</v>
      </c>
      <c r="P151" s="21">
        <v>0</v>
      </c>
      <c r="Q151" s="21" t="s">
        <v>52</v>
      </c>
      <c r="R151" s="66">
        <v>41836.510891203703</v>
      </c>
      <c r="S151" s="66" t="s">
        <v>586</v>
      </c>
      <c r="T151" s="66" t="s">
        <v>66</v>
      </c>
      <c r="U151" s="66" t="s">
        <v>53</v>
      </c>
      <c r="V151" s="67">
        <v>0</v>
      </c>
      <c r="W151" s="67" t="s">
        <v>52</v>
      </c>
      <c r="X151" s="68">
        <v>41841.594849537039</v>
      </c>
      <c r="Y151" s="68">
        <v>41841.600624999999</v>
      </c>
      <c r="Z151" s="67">
        <v>0</v>
      </c>
      <c r="AA151" s="67">
        <f>IFERROR(IF(OR(C151&lt;&gt;C150,ABS(TEXT(Tabla_ss2p_pedidos[[#This Row],[fecha_solicitud]],"d")-TEXT(Tabla_ss2p_pedidos[[#This Row],[fecha_solicitud]],"d"))&gt;=1),1,AA150+1),1)</f>
        <v>6</v>
      </c>
      <c r="AB15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611201423421072014</v>
      </c>
    </row>
    <row r="152" spans="1:28" x14ac:dyDescent="0.25">
      <c r="A152" s="21">
        <v>4692</v>
      </c>
      <c r="B152" s="21">
        <v>486950</v>
      </c>
      <c r="C152" s="21">
        <v>234</v>
      </c>
      <c r="D152" s="21">
        <v>10</v>
      </c>
      <c r="E152" s="21">
        <v>11</v>
      </c>
      <c r="F152" s="21">
        <v>2014</v>
      </c>
      <c r="G152" s="21" t="s">
        <v>591</v>
      </c>
      <c r="H152" s="21" t="s">
        <v>592</v>
      </c>
      <c r="I152" s="21" t="s">
        <v>593</v>
      </c>
      <c r="J152" s="21" t="s">
        <v>52</v>
      </c>
      <c r="K152" s="21">
        <v>8</v>
      </c>
      <c r="L152" s="21">
        <v>39.47</v>
      </c>
      <c r="M152" s="21" t="s">
        <v>54</v>
      </c>
      <c r="N152" s="21">
        <v>0</v>
      </c>
      <c r="O152" s="21">
        <v>1</v>
      </c>
      <c r="P152" s="21">
        <v>0</v>
      </c>
      <c r="Q152" s="21" t="s">
        <v>52</v>
      </c>
      <c r="R152" s="66">
        <v>41836.510879629626</v>
      </c>
      <c r="S152" s="66" t="s">
        <v>586</v>
      </c>
      <c r="T152" s="66" t="s">
        <v>66</v>
      </c>
      <c r="U152" s="66" t="s">
        <v>53</v>
      </c>
      <c r="V152" s="67">
        <v>0</v>
      </c>
      <c r="W152" s="67" t="s">
        <v>52</v>
      </c>
      <c r="X152" s="68">
        <v>41841.594965277778</v>
      </c>
      <c r="Y152" s="68">
        <v>41841.6016087963</v>
      </c>
      <c r="Z152" s="67">
        <v>0</v>
      </c>
      <c r="AA152" s="67">
        <f>IFERROR(IF(OR(C152&lt;&gt;C151,ABS(TEXT(Tabla_ss2p_pedidos[[#This Row],[fecha_solicitud]],"d")-TEXT(Tabla_ss2p_pedidos[[#This Row],[fecha_solicitud]],"d"))&gt;=1),1,AA151+1),1)</f>
        <v>7</v>
      </c>
      <c r="AB15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711201423421072014</v>
      </c>
    </row>
    <row r="153" spans="1:28" x14ac:dyDescent="0.25">
      <c r="A153" s="21">
        <v>4700</v>
      </c>
      <c r="B153" s="21">
        <v>503139</v>
      </c>
      <c r="C153" s="21">
        <v>234</v>
      </c>
      <c r="D153" s="21">
        <v>10</v>
      </c>
      <c r="E153" s="21">
        <v>11</v>
      </c>
      <c r="F153" s="21">
        <v>2014</v>
      </c>
      <c r="G153" s="21" t="s">
        <v>594</v>
      </c>
      <c r="H153" s="21" t="s">
        <v>595</v>
      </c>
      <c r="I153" s="21" t="s">
        <v>596</v>
      </c>
      <c r="J153" s="21" t="s">
        <v>52</v>
      </c>
      <c r="K153" s="21">
        <v>4</v>
      </c>
      <c r="L153" s="21">
        <v>32.75</v>
      </c>
      <c r="M153" s="21" t="s">
        <v>134</v>
      </c>
      <c r="N153" s="21">
        <v>0</v>
      </c>
      <c r="O153" s="21">
        <v>1</v>
      </c>
      <c r="P153" s="21">
        <v>0</v>
      </c>
      <c r="Q153" s="21" t="s">
        <v>52</v>
      </c>
      <c r="R153" s="66">
        <v>41836.510891203703</v>
      </c>
      <c r="S153" s="66" t="s">
        <v>586</v>
      </c>
      <c r="T153" s="66" t="s">
        <v>66</v>
      </c>
      <c r="U153" s="66" t="s">
        <v>53</v>
      </c>
      <c r="V153" s="67">
        <v>0</v>
      </c>
      <c r="W153" s="67" t="s">
        <v>52</v>
      </c>
      <c r="X153" s="68">
        <v>41841.595081018517</v>
      </c>
      <c r="Y153" s="68">
        <v>41841.602129629631</v>
      </c>
      <c r="Z153" s="67">
        <v>0</v>
      </c>
      <c r="AA153" s="67">
        <f>IFERROR(IF(OR(C153&lt;&gt;C152,ABS(TEXT(Tabla_ss2p_pedidos[[#This Row],[fecha_solicitud]],"d")-TEXT(Tabla_ss2p_pedidos[[#This Row],[fecha_solicitud]],"d"))&gt;=1),1,AA152+1),1)</f>
        <v>8</v>
      </c>
      <c r="AB15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811201423421072014</v>
      </c>
    </row>
    <row r="154" spans="1:28" x14ac:dyDescent="0.25">
      <c r="A154" s="21">
        <v>4665</v>
      </c>
      <c r="B154" s="21">
        <v>474441</v>
      </c>
      <c r="C154" s="21">
        <v>234</v>
      </c>
      <c r="D154" s="21">
        <v>5</v>
      </c>
      <c r="E154" s="21">
        <v>11</v>
      </c>
      <c r="F154" s="21">
        <v>2014</v>
      </c>
      <c r="G154" s="21" t="s">
        <v>597</v>
      </c>
      <c r="H154" s="21" t="s">
        <v>598</v>
      </c>
      <c r="I154" s="21" t="s">
        <v>599</v>
      </c>
      <c r="J154" s="21" t="s">
        <v>52</v>
      </c>
      <c r="K154" s="21">
        <v>18</v>
      </c>
      <c r="L154" s="21">
        <v>75.69</v>
      </c>
      <c r="M154" s="21" t="s">
        <v>54</v>
      </c>
      <c r="N154" s="21">
        <v>0</v>
      </c>
      <c r="O154" s="21">
        <v>1</v>
      </c>
      <c r="P154" s="21">
        <v>0</v>
      </c>
      <c r="Q154" s="21" t="s">
        <v>52</v>
      </c>
      <c r="R154" s="66">
        <v>41836.510868055557</v>
      </c>
      <c r="S154" s="66" t="s">
        <v>600</v>
      </c>
      <c r="T154" s="66" t="s">
        <v>66</v>
      </c>
      <c r="U154" s="66" t="s">
        <v>53</v>
      </c>
      <c r="V154" s="67">
        <v>0</v>
      </c>
      <c r="W154" s="67" t="s">
        <v>52</v>
      </c>
      <c r="X154" s="68">
        <v>41841.613055555557</v>
      </c>
      <c r="Y154" s="68">
        <v>41841.616307870368</v>
      </c>
      <c r="Z154" s="67">
        <v>0</v>
      </c>
      <c r="AA154" s="67">
        <f>IFERROR(IF(OR(C154&lt;&gt;C153,ABS(TEXT(Tabla_ss2p_pedidos[[#This Row],[fecha_solicitud]],"d")-TEXT(Tabla_ss2p_pedidos[[#This Row],[fecha_solicitud]],"d"))&gt;=1),1,AA153+1),1)</f>
        <v>9</v>
      </c>
      <c r="AB15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911201423421072014</v>
      </c>
    </row>
    <row r="155" spans="1:28" x14ac:dyDescent="0.25">
      <c r="A155" s="21">
        <v>4723</v>
      </c>
      <c r="B155" s="21">
        <v>449307</v>
      </c>
      <c r="C155" s="21">
        <v>234</v>
      </c>
      <c r="D155" s="21">
        <v>13</v>
      </c>
      <c r="E155" s="21">
        <v>11</v>
      </c>
      <c r="F155" s="21">
        <v>2014</v>
      </c>
      <c r="G155" s="21" t="s">
        <v>601</v>
      </c>
      <c r="H155" s="21" t="s">
        <v>602</v>
      </c>
      <c r="I155" s="21" t="s">
        <v>603</v>
      </c>
      <c r="J155" s="21" t="s">
        <v>604</v>
      </c>
      <c r="K155" s="21">
        <v>33</v>
      </c>
      <c r="L155" s="21">
        <v>239.93</v>
      </c>
      <c r="M155" s="21" t="s">
        <v>87</v>
      </c>
      <c r="N155" s="21">
        <v>0</v>
      </c>
      <c r="O155" s="21">
        <v>3</v>
      </c>
      <c r="P155" s="21">
        <v>0</v>
      </c>
      <c r="Q155" s="21" t="s">
        <v>52</v>
      </c>
      <c r="R155" s="66">
        <v>41836.51090277778</v>
      </c>
      <c r="S155" s="66" t="s">
        <v>59</v>
      </c>
      <c r="T155" s="66" t="s">
        <v>66</v>
      </c>
      <c r="U155" s="66" t="s">
        <v>53</v>
      </c>
      <c r="V155" s="67">
        <v>0</v>
      </c>
      <c r="W155" s="67" t="s">
        <v>52</v>
      </c>
      <c r="X155" s="68">
        <v>41841.628449074073</v>
      </c>
      <c r="Y155" s="68">
        <v>41841.628819444442</v>
      </c>
      <c r="Z155" s="67">
        <v>0</v>
      </c>
      <c r="AA155" s="67">
        <f>IFERROR(IF(OR(C155&lt;&gt;C154,ABS(TEXT(Tabla_ss2p_pedidos[[#This Row],[fecha_solicitud]],"d")-TEXT(Tabla_ss2p_pedidos[[#This Row],[fecha_solicitud]],"d"))&gt;=1),1,AA154+1),1)</f>
        <v>10</v>
      </c>
      <c r="AB15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1011201423421072014</v>
      </c>
    </row>
    <row r="156" spans="1:28" x14ac:dyDescent="0.25">
      <c r="A156" s="21">
        <v>4656</v>
      </c>
      <c r="B156" s="21">
        <v>497676</v>
      </c>
      <c r="C156" s="21">
        <v>234</v>
      </c>
      <c r="D156" s="21">
        <v>3</v>
      </c>
      <c r="E156" s="21">
        <v>11</v>
      </c>
      <c r="F156" s="21">
        <v>2014</v>
      </c>
      <c r="G156" s="21" t="s">
        <v>605</v>
      </c>
      <c r="H156" s="21" t="s">
        <v>606</v>
      </c>
      <c r="I156" s="21" t="s">
        <v>607</v>
      </c>
      <c r="J156" s="21" t="s">
        <v>52</v>
      </c>
      <c r="K156" s="21">
        <v>8</v>
      </c>
      <c r="L156" s="21">
        <v>22.47</v>
      </c>
      <c r="M156" s="21" t="s">
        <v>56</v>
      </c>
      <c r="N156" s="21">
        <v>0</v>
      </c>
      <c r="O156" s="21">
        <v>1</v>
      </c>
      <c r="P156" s="21">
        <v>0</v>
      </c>
      <c r="Q156" s="21" t="s">
        <v>52</v>
      </c>
      <c r="R156" s="66">
        <v>41836.510868055557</v>
      </c>
      <c r="S156" s="66" t="s">
        <v>59</v>
      </c>
      <c r="T156" s="66" t="s">
        <v>66</v>
      </c>
      <c r="U156" s="66" t="s">
        <v>53</v>
      </c>
      <c r="V156" s="67">
        <v>22.47</v>
      </c>
      <c r="W156" s="67" t="s">
        <v>52</v>
      </c>
      <c r="X156" s="68">
        <v>41841.632071759261</v>
      </c>
      <c r="Y156" s="68">
        <v>41841.634375000001</v>
      </c>
      <c r="Z156" s="67">
        <v>0</v>
      </c>
      <c r="AA156" s="67">
        <f>IFERROR(IF(OR(C156&lt;&gt;C155,ABS(TEXT(Tabla_ss2p_pedidos[[#This Row],[fecha_solicitud]],"d")-TEXT(Tabla_ss2p_pedidos[[#This Row],[fecha_solicitud]],"d"))&gt;=1),1,AA155+1),1)</f>
        <v>11</v>
      </c>
      <c r="AB15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1111201423421072014</v>
      </c>
    </row>
    <row r="157" spans="1:28" x14ac:dyDescent="0.25">
      <c r="A157" s="21">
        <v>4707</v>
      </c>
      <c r="B157" s="21">
        <v>495251</v>
      </c>
      <c r="C157" s="21">
        <v>234</v>
      </c>
      <c r="D157" s="21">
        <v>10</v>
      </c>
      <c r="E157" s="21">
        <v>11</v>
      </c>
      <c r="F157" s="21">
        <v>2014</v>
      </c>
      <c r="G157" s="21" t="s">
        <v>608</v>
      </c>
      <c r="H157" s="21" t="s">
        <v>609</v>
      </c>
      <c r="I157" s="21" t="s">
        <v>610</v>
      </c>
      <c r="J157" s="21" t="s">
        <v>610</v>
      </c>
      <c r="K157" s="21">
        <v>8</v>
      </c>
      <c r="L157" s="21">
        <v>70.62</v>
      </c>
      <c r="M157" s="21" t="s">
        <v>56</v>
      </c>
      <c r="N157" s="21">
        <v>0</v>
      </c>
      <c r="O157" s="21">
        <v>1</v>
      </c>
      <c r="P157" s="21">
        <v>0</v>
      </c>
      <c r="Q157" s="21" t="s">
        <v>52</v>
      </c>
      <c r="R157" s="66">
        <v>41836.510891203703</v>
      </c>
      <c r="S157" s="66" t="s">
        <v>611</v>
      </c>
      <c r="T157" s="66" t="s">
        <v>66</v>
      </c>
      <c r="U157" s="66" t="s">
        <v>53</v>
      </c>
      <c r="V157" s="67">
        <v>0</v>
      </c>
      <c r="W157" s="67" t="s">
        <v>52</v>
      </c>
      <c r="X157" s="68">
        <v>41841.644143518519</v>
      </c>
      <c r="Y157" s="68">
        <v>41841.648541666669</v>
      </c>
      <c r="Z157" s="67">
        <v>0</v>
      </c>
      <c r="AA157" s="67">
        <f>IFERROR(IF(OR(C157&lt;&gt;C156,ABS(TEXT(Tabla_ss2p_pedidos[[#This Row],[fecha_solicitud]],"d")-TEXT(Tabla_ss2p_pedidos[[#This Row],[fecha_solicitud]],"d"))&gt;=1),1,AA156+1),1)</f>
        <v>12</v>
      </c>
      <c r="AB15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1211201423421072014</v>
      </c>
    </row>
    <row r="158" spans="1:28" x14ac:dyDescent="0.25">
      <c r="A158" s="21">
        <v>4699</v>
      </c>
      <c r="B158" s="21">
        <v>452170</v>
      </c>
      <c r="C158" s="21">
        <v>234</v>
      </c>
      <c r="D158" s="21">
        <v>10</v>
      </c>
      <c r="E158" s="21">
        <v>11</v>
      </c>
      <c r="F158" s="21">
        <v>2014</v>
      </c>
      <c r="G158" s="21" t="s">
        <v>612</v>
      </c>
      <c r="H158" s="21" t="s">
        <v>613</v>
      </c>
      <c r="I158" s="21" t="s">
        <v>614</v>
      </c>
      <c r="J158" s="21" t="s">
        <v>52</v>
      </c>
      <c r="K158" s="21">
        <v>23</v>
      </c>
      <c r="L158" s="21">
        <v>40.85</v>
      </c>
      <c r="M158" s="21" t="s">
        <v>134</v>
      </c>
      <c r="N158" s="21">
        <v>0</v>
      </c>
      <c r="O158" s="21">
        <v>1</v>
      </c>
      <c r="P158" s="21">
        <v>0</v>
      </c>
      <c r="Q158" s="21" t="s">
        <v>52</v>
      </c>
      <c r="R158" s="66">
        <v>41836.510891203703</v>
      </c>
      <c r="S158" s="66" t="s">
        <v>611</v>
      </c>
      <c r="T158" s="66" t="s">
        <v>66</v>
      </c>
      <c r="U158" s="66" t="s">
        <v>53</v>
      </c>
      <c r="V158" s="67">
        <v>0</v>
      </c>
      <c r="W158" s="67" t="s">
        <v>52</v>
      </c>
      <c r="X158" s="68">
        <v>41841.644386574073</v>
      </c>
      <c r="Y158" s="68">
        <v>41841.648587962962</v>
      </c>
      <c r="Z158" s="67">
        <v>0</v>
      </c>
      <c r="AA158" s="67">
        <f>IFERROR(IF(OR(C158&lt;&gt;C157,ABS(TEXT(Tabla_ss2p_pedidos[[#This Row],[fecha_solicitud]],"d")-TEXT(Tabla_ss2p_pedidos[[#This Row],[fecha_solicitud]],"d"))&gt;=1),1,AA157+1),1)</f>
        <v>13</v>
      </c>
      <c r="AB15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1311201423421072014</v>
      </c>
    </row>
    <row r="159" spans="1:28" x14ac:dyDescent="0.25">
      <c r="A159" s="21">
        <v>4705</v>
      </c>
      <c r="B159" s="21">
        <v>499900</v>
      </c>
      <c r="C159" s="21">
        <v>234</v>
      </c>
      <c r="D159" s="21">
        <v>10</v>
      </c>
      <c r="E159" s="21">
        <v>11</v>
      </c>
      <c r="F159" s="21">
        <v>2014</v>
      </c>
      <c r="G159" s="21" t="s">
        <v>615</v>
      </c>
      <c r="H159" s="21" t="s">
        <v>616</v>
      </c>
      <c r="I159" s="21" t="s">
        <v>617</v>
      </c>
      <c r="J159" s="21" t="s">
        <v>617</v>
      </c>
      <c r="K159" s="21">
        <v>4</v>
      </c>
      <c r="L159" s="21">
        <v>43.59</v>
      </c>
      <c r="M159" s="21" t="s">
        <v>56</v>
      </c>
      <c r="N159" s="21">
        <v>0</v>
      </c>
      <c r="O159" s="21">
        <v>1</v>
      </c>
      <c r="P159" s="21">
        <v>0</v>
      </c>
      <c r="Q159" s="21" t="s">
        <v>52</v>
      </c>
      <c r="R159" s="66">
        <v>41836.510891203703</v>
      </c>
      <c r="S159" s="66" t="s">
        <v>611</v>
      </c>
      <c r="T159" s="66" t="s">
        <v>66</v>
      </c>
      <c r="U159" s="66" t="s">
        <v>53</v>
      </c>
      <c r="V159" s="67">
        <v>0</v>
      </c>
      <c r="W159" s="67" t="s">
        <v>52</v>
      </c>
      <c r="X159" s="68">
        <v>41841.644652777781</v>
      </c>
      <c r="Y159" s="68">
        <v>41841.648622685185</v>
      </c>
      <c r="Z159" s="67">
        <v>0</v>
      </c>
      <c r="AA159" s="67">
        <f>IFERROR(IF(OR(C159&lt;&gt;C158,ABS(TEXT(Tabla_ss2p_pedidos[[#This Row],[fecha_solicitud]],"d")-TEXT(Tabla_ss2p_pedidos[[#This Row],[fecha_solicitud]],"d"))&gt;=1),1,AA158+1),1)</f>
        <v>14</v>
      </c>
      <c r="AB15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1411201423421072014</v>
      </c>
    </row>
    <row r="160" spans="1:28" x14ac:dyDescent="0.25">
      <c r="A160" s="21">
        <v>4655</v>
      </c>
      <c r="B160" s="21">
        <v>482382</v>
      </c>
      <c r="C160" s="21">
        <v>234</v>
      </c>
      <c r="D160" s="21">
        <v>3</v>
      </c>
      <c r="E160" s="21">
        <v>11</v>
      </c>
      <c r="F160" s="21">
        <v>2014</v>
      </c>
      <c r="G160" s="21" t="s">
        <v>618</v>
      </c>
      <c r="H160" s="21" t="s">
        <v>619</v>
      </c>
      <c r="I160" s="21" t="s">
        <v>620</v>
      </c>
      <c r="J160" s="21" t="s">
        <v>52</v>
      </c>
      <c r="K160" s="21">
        <v>16</v>
      </c>
      <c r="L160" s="21">
        <v>185.02</v>
      </c>
      <c r="M160" s="21" t="s">
        <v>134</v>
      </c>
      <c r="N160" s="21">
        <v>0</v>
      </c>
      <c r="O160" s="21">
        <v>3</v>
      </c>
      <c r="P160" s="21">
        <v>0</v>
      </c>
      <c r="Q160" s="21" t="s">
        <v>52</v>
      </c>
      <c r="R160" s="66">
        <v>41836.510868055557</v>
      </c>
      <c r="S160" s="66" t="s">
        <v>412</v>
      </c>
      <c r="T160" s="66" t="s">
        <v>66</v>
      </c>
      <c r="U160" s="66" t="s">
        <v>53</v>
      </c>
      <c r="V160" s="67">
        <v>0</v>
      </c>
      <c r="W160" s="67" t="s">
        <v>52</v>
      </c>
      <c r="X160" s="68">
        <v>41841.655057870368</v>
      </c>
      <c r="Y160" s="68">
        <v>41841.655798611115</v>
      </c>
      <c r="Z160" s="67">
        <v>0</v>
      </c>
      <c r="AA160" s="67">
        <f>IFERROR(IF(OR(C160&lt;&gt;C159,ABS(TEXT(Tabla_ss2p_pedidos[[#This Row],[fecha_solicitud]],"d")-TEXT(Tabla_ss2p_pedidos[[#This Row],[fecha_solicitud]],"d"))&gt;=1),1,AA159+1),1)</f>
        <v>15</v>
      </c>
      <c r="AB16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1511201423421072014</v>
      </c>
    </row>
    <row r="161" spans="1:28" x14ac:dyDescent="0.25">
      <c r="A161" s="21">
        <v>4657</v>
      </c>
      <c r="B161" s="21">
        <v>310603</v>
      </c>
      <c r="C161" s="21">
        <v>234</v>
      </c>
      <c r="D161" s="21">
        <v>3</v>
      </c>
      <c r="E161" s="21">
        <v>11</v>
      </c>
      <c r="F161" s="21">
        <v>2014</v>
      </c>
      <c r="G161" s="21" t="s">
        <v>621</v>
      </c>
      <c r="H161" s="21" t="s">
        <v>622</v>
      </c>
      <c r="I161" s="21" t="s">
        <v>623</v>
      </c>
      <c r="J161" s="21" t="s">
        <v>623</v>
      </c>
      <c r="K161" s="21">
        <v>67</v>
      </c>
      <c r="L161" s="21">
        <v>33.86</v>
      </c>
      <c r="M161" s="21" t="s">
        <v>56</v>
      </c>
      <c r="N161" s="21">
        <v>0</v>
      </c>
      <c r="O161" s="21">
        <v>1</v>
      </c>
      <c r="P161" s="21">
        <v>0</v>
      </c>
      <c r="Q161" s="21" t="s">
        <v>52</v>
      </c>
      <c r="R161" s="66">
        <v>41836.510868055557</v>
      </c>
      <c r="S161" s="66" t="s">
        <v>412</v>
      </c>
      <c r="T161" s="66" t="s">
        <v>66</v>
      </c>
      <c r="U161" s="66" t="s">
        <v>53</v>
      </c>
      <c r="V161" s="67">
        <v>0</v>
      </c>
      <c r="W161" s="67" t="s">
        <v>52</v>
      </c>
      <c r="X161" s="68">
        <v>41841.65520833333</v>
      </c>
      <c r="Y161" s="68">
        <v>41841.655868055554</v>
      </c>
      <c r="Z161" s="67">
        <v>0</v>
      </c>
      <c r="AA161" s="67">
        <f>IFERROR(IF(OR(C161&lt;&gt;C160,ABS(TEXT(Tabla_ss2p_pedidos[[#This Row],[fecha_solicitud]],"d")-TEXT(Tabla_ss2p_pedidos[[#This Row],[fecha_solicitud]],"d"))&gt;=1),1,AA160+1),1)</f>
        <v>16</v>
      </c>
      <c r="AB16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1611201423421072014</v>
      </c>
    </row>
    <row r="162" spans="1:28" x14ac:dyDescent="0.25">
      <c r="A162" s="21">
        <v>4736</v>
      </c>
      <c r="B162" s="21">
        <v>498642</v>
      </c>
      <c r="C162" s="21">
        <v>234</v>
      </c>
      <c r="D162" s="21">
        <v>16</v>
      </c>
      <c r="E162" s="21">
        <v>11</v>
      </c>
      <c r="F162" s="21">
        <v>2014</v>
      </c>
      <c r="G162" s="21" t="s">
        <v>624</v>
      </c>
      <c r="H162" s="21" t="s">
        <v>625</v>
      </c>
      <c r="I162" s="21" t="s">
        <v>626</v>
      </c>
      <c r="J162" s="21" t="s">
        <v>52</v>
      </c>
      <c r="K162" s="21">
        <v>7</v>
      </c>
      <c r="L162" s="21">
        <v>120.18</v>
      </c>
      <c r="M162" s="21" t="s">
        <v>58</v>
      </c>
      <c r="N162" s="21">
        <v>0</v>
      </c>
      <c r="O162" s="21">
        <v>1</v>
      </c>
      <c r="P162" s="21">
        <v>0</v>
      </c>
      <c r="Q162" s="21" t="s">
        <v>52</v>
      </c>
      <c r="R162" s="66">
        <v>41836.51090277778</v>
      </c>
      <c r="S162" s="66" t="s">
        <v>65</v>
      </c>
      <c r="T162" s="66" t="s">
        <v>66</v>
      </c>
      <c r="U162" s="66" t="s">
        <v>53</v>
      </c>
      <c r="V162" s="67">
        <v>0</v>
      </c>
      <c r="W162" s="67" t="s">
        <v>52</v>
      </c>
      <c r="X162" s="68">
        <v>41841.683981481481</v>
      </c>
      <c r="Y162" s="68">
        <v>41841.684444444443</v>
      </c>
      <c r="Z162" s="67">
        <v>0</v>
      </c>
      <c r="AA162" s="67">
        <f>IFERROR(IF(OR(C162&lt;&gt;C161,ABS(TEXT(Tabla_ss2p_pedidos[[#This Row],[fecha_solicitud]],"d")-TEXT(Tabla_ss2p_pedidos[[#This Row],[fecha_solicitud]],"d"))&gt;=1),1,AA161+1),1)</f>
        <v>17</v>
      </c>
      <c r="AB16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1711201423421072014</v>
      </c>
    </row>
    <row r="163" spans="1:28" x14ac:dyDescent="0.25">
      <c r="A163" s="21">
        <v>5338</v>
      </c>
      <c r="B163" s="21">
        <v>387249</v>
      </c>
      <c r="C163" s="21">
        <v>237</v>
      </c>
      <c r="D163" s="21">
        <v>99</v>
      </c>
      <c r="E163" s="21">
        <v>11</v>
      </c>
      <c r="F163" s="21">
        <v>2014</v>
      </c>
      <c r="G163" s="21" t="s">
        <v>70</v>
      </c>
      <c r="H163" s="21" t="s">
        <v>52</v>
      </c>
      <c r="I163" s="21" t="s">
        <v>52</v>
      </c>
      <c r="J163" s="21" t="s">
        <v>52</v>
      </c>
      <c r="K163" s="21">
        <v>61</v>
      </c>
      <c r="L163" s="21">
        <v>154.26</v>
      </c>
      <c r="M163" s="21" t="s">
        <v>52</v>
      </c>
      <c r="N163" s="21">
        <v>0</v>
      </c>
      <c r="O163" s="21">
        <v>2</v>
      </c>
      <c r="P163" s="21">
        <v>0</v>
      </c>
      <c r="Q163" s="21" t="s">
        <v>52</v>
      </c>
      <c r="R163" s="66">
        <v>41838.446574074071</v>
      </c>
      <c r="S163" s="66" t="s">
        <v>59</v>
      </c>
      <c r="T163" s="66" t="s">
        <v>60</v>
      </c>
      <c r="U163" s="66" t="s">
        <v>53</v>
      </c>
      <c r="V163" s="67">
        <v>0</v>
      </c>
      <c r="W163" s="67" t="s">
        <v>52</v>
      </c>
      <c r="X163" s="68">
        <v>41841.405775462961</v>
      </c>
      <c r="Y163" s="68">
        <v>41841.407939814817</v>
      </c>
      <c r="Z163" s="67">
        <v>0</v>
      </c>
      <c r="AA163" s="67">
        <f>IFERROR(IF(OR(C163&lt;&gt;C162,ABS(TEXT(Tabla_ss2p_pedidos[[#This Row],[fecha_solicitud]],"d")-TEXT(Tabla_ss2p_pedidos[[#This Row],[fecha_solicitud]],"d"))&gt;=1),1,AA162+1),1)</f>
        <v>1</v>
      </c>
      <c r="AB16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111201423721072014</v>
      </c>
    </row>
    <row r="164" spans="1:28" x14ac:dyDescent="0.25">
      <c r="A164" s="21">
        <v>5233</v>
      </c>
      <c r="B164" s="21">
        <v>416707</v>
      </c>
      <c r="C164" s="21">
        <v>237</v>
      </c>
      <c r="D164" s="21">
        <v>17</v>
      </c>
      <c r="E164" s="21">
        <v>11</v>
      </c>
      <c r="F164" s="21">
        <v>2014</v>
      </c>
      <c r="G164" s="21" t="s">
        <v>71</v>
      </c>
      <c r="H164" s="21" t="s">
        <v>72</v>
      </c>
      <c r="I164" s="21" t="s">
        <v>52</v>
      </c>
      <c r="J164" s="21" t="s">
        <v>73</v>
      </c>
      <c r="K164" s="21">
        <v>48</v>
      </c>
      <c r="L164" s="21">
        <v>114.46</v>
      </c>
      <c r="M164" s="21" t="s">
        <v>56</v>
      </c>
      <c r="N164" s="21">
        <v>0</v>
      </c>
      <c r="O164" s="21">
        <v>1</v>
      </c>
      <c r="P164" s="21">
        <v>0</v>
      </c>
      <c r="Q164" s="21" t="s">
        <v>52</v>
      </c>
      <c r="R164" s="66">
        <v>41838.353009259263</v>
      </c>
      <c r="S164" s="66" t="s">
        <v>59</v>
      </c>
      <c r="T164" s="66" t="s">
        <v>60</v>
      </c>
      <c r="U164" s="66" t="s">
        <v>53</v>
      </c>
      <c r="V164" s="67">
        <v>0</v>
      </c>
      <c r="W164" s="67" t="s">
        <v>52</v>
      </c>
      <c r="X164" s="68">
        <v>41841.406041666669</v>
      </c>
      <c r="Y164" s="68">
        <v>41841.408009259256</v>
      </c>
      <c r="Z164" s="67">
        <v>0</v>
      </c>
      <c r="AA164" s="67">
        <f>IFERROR(IF(OR(C164&lt;&gt;C163,ABS(TEXT(Tabla_ss2p_pedidos[[#This Row],[fecha_solicitud]],"d")-TEXT(Tabla_ss2p_pedidos[[#This Row],[fecha_solicitud]],"d"))&gt;=1),1,AA163+1),1)</f>
        <v>2</v>
      </c>
      <c r="AB16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211201423721072014</v>
      </c>
    </row>
    <row r="165" spans="1:28" x14ac:dyDescent="0.25">
      <c r="A165" s="21">
        <v>5166</v>
      </c>
      <c r="B165" s="21">
        <v>311025</v>
      </c>
      <c r="C165" s="21">
        <v>237</v>
      </c>
      <c r="D165" s="21">
        <v>1</v>
      </c>
      <c r="E165" s="21">
        <v>11</v>
      </c>
      <c r="F165" s="21">
        <v>2014</v>
      </c>
      <c r="G165" s="21" t="s">
        <v>627</v>
      </c>
      <c r="H165" s="21" t="s">
        <v>628</v>
      </c>
      <c r="I165" s="21" t="s">
        <v>629</v>
      </c>
      <c r="J165" s="21" t="s">
        <v>629</v>
      </c>
      <c r="K165" s="21">
        <v>93</v>
      </c>
      <c r="L165" s="21">
        <v>65.2</v>
      </c>
      <c r="M165" s="21" t="s">
        <v>56</v>
      </c>
      <c r="N165" s="21">
        <v>0</v>
      </c>
      <c r="O165" s="21">
        <v>1</v>
      </c>
      <c r="P165" s="21">
        <v>0</v>
      </c>
      <c r="Q165" s="21" t="s">
        <v>52</v>
      </c>
      <c r="R165" s="66">
        <v>41838.352986111109</v>
      </c>
      <c r="S165" s="66" t="s">
        <v>59</v>
      </c>
      <c r="T165" s="66" t="s">
        <v>60</v>
      </c>
      <c r="U165" s="66" t="s">
        <v>53</v>
      </c>
      <c r="V165" s="67">
        <v>0</v>
      </c>
      <c r="W165" s="67" t="s">
        <v>52</v>
      </c>
      <c r="X165" s="68">
        <v>41841.628576388888</v>
      </c>
      <c r="Y165" s="68">
        <v>41841.629374999997</v>
      </c>
      <c r="Z165" s="67">
        <v>0</v>
      </c>
      <c r="AA165" s="67">
        <f>IFERROR(IF(OR(C165&lt;&gt;C164,ABS(TEXT(Tabla_ss2p_pedidos[[#This Row],[fecha_solicitud]],"d")-TEXT(Tabla_ss2p_pedidos[[#This Row],[fecha_solicitud]],"d"))&gt;=1),1,AA164+1),1)</f>
        <v>3</v>
      </c>
      <c r="AB16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311201423721072014</v>
      </c>
    </row>
    <row r="166" spans="1:28" x14ac:dyDescent="0.25">
      <c r="A166" s="21">
        <v>5194</v>
      </c>
      <c r="B166" s="21">
        <v>480004</v>
      </c>
      <c r="C166" s="21">
        <v>237</v>
      </c>
      <c r="D166" s="21">
        <v>8</v>
      </c>
      <c r="E166" s="21">
        <v>11</v>
      </c>
      <c r="F166" s="21">
        <v>2014</v>
      </c>
      <c r="G166" s="21" t="s">
        <v>630</v>
      </c>
      <c r="H166" s="21" t="s">
        <v>631</v>
      </c>
      <c r="I166" s="21" t="s">
        <v>632</v>
      </c>
      <c r="J166" s="21" t="s">
        <v>52</v>
      </c>
      <c r="K166" s="21">
        <v>17</v>
      </c>
      <c r="L166" s="21">
        <v>58.63</v>
      </c>
      <c r="M166" s="21" t="s">
        <v>58</v>
      </c>
      <c r="N166" s="21">
        <v>0</v>
      </c>
      <c r="O166" s="21">
        <v>1</v>
      </c>
      <c r="P166" s="21">
        <v>0</v>
      </c>
      <c r="Q166" s="21" t="s">
        <v>52</v>
      </c>
      <c r="R166" s="66">
        <v>41838.352997685186</v>
      </c>
      <c r="S166" s="66" t="s">
        <v>59</v>
      </c>
      <c r="T166" s="66" t="s">
        <v>60</v>
      </c>
      <c r="U166" s="66" t="s">
        <v>53</v>
      </c>
      <c r="V166" s="67">
        <v>0</v>
      </c>
      <c r="W166" s="67" t="s">
        <v>52</v>
      </c>
      <c r="X166" s="68">
        <v>41841.628750000003</v>
      </c>
      <c r="Y166" s="68">
        <v>41841.629421296297</v>
      </c>
      <c r="Z166" s="67">
        <v>0</v>
      </c>
      <c r="AA166" s="67">
        <f>IFERROR(IF(OR(C166&lt;&gt;C165,ABS(TEXT(Tabla_ss2p_pedidos[[#This Row],[fecha_solicitud]],"d")-TEXT(Tabla_ss2p_pedidos[[#This Row],[fecha_solicitud]],"d"))&gt;=1),1,AA165+1),1)</f>
        <v>4</v>
      </c>
      <c r="AB16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411201423721072014</v>
      </c>
    </row>
    <row r="167" spans="1:28" x14ac:dyDescent="0.25">
      <c r="A167" s="21">
        <v>5227</v>
      </c>
      <c r="B167" s="21">
        <v>9643</v>
      </c>
      <c r="C167" s="21">
        <v>237</v>
      </c>
      <c r="D167" s="21">
        <v>16</v>
      </c>
      <c r="E167" s="21">
        <v>11</v>
      </c>
      <c r="F167" s="21">
        <v>2014</v>
      </c>
      <c r="G167" s="21" t="s">
        <v>633</v>
      </c>
      <c r="H167" s="21" t="s">
        <v>634</v>
      </c>
      <c r="I167" s="21" t="s">
        <v>635</v>
      </c>
      <c r="J167" s="21" t="s">
        <v>636</v>
      </c>
      <c r="K167" s="21">
        <v>132</v>
      </c>
      <c r="L167" s="21">
        <v>30.92</v>
      </c>
      <c r="M167" s="21" t="s">
        <v>58</v>
      </c>
      <c r="N167" s="21">
        <v>0</v>
      </c>
      <c r="O167" s="21">
        <v>1</v>
      </c>
      <c r="P167" s="21">
        <v>0</v>
      </c>
      <c r="Q167" s="21" t="s">
        <v>52</v>
      </c>
      <c r="R167" s="66">
        <v>41838.352997685186</v>
      </c>
      <c r="S167" s="66" t="s">
        <v>59</v>
      </c>
      <c r="T167" s="66" t="s">
        <v>60</v>
      </c>
      <c r="U167" s="66" t="s">
        <v>53</v>
      </c>
      <c r="V167" s="67">
        <v>0</v>
      </c>
      <c r="W167" s="67" t="s">
        <v>52</v>
      </c>
      <c r="X167" s="68">
        <v>41841.628877314812</v>
      </c>
      <c r="Y167" s="68">
        <v>41841.629976851851</v>
      </c>
      <c r="Z167" s="67">
        <v>0</v>
      </c>
      <c r="AA167" s="67">
        <f>IFERROR(IF(OR(C167&lt;&gt;C166,ABS(TEXT(Tabla_ss2p_pedidos[[#This Row],[fecha_solicitud]],"d")-TEXT(Tabla_ss2p_pedidos[[#This Row],[fecha_solicitud]],"d"))&gt;=1),1,AA166+1),1)</f>
        <v>5</v>
      </c>
      <c r="AB16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511201423721072014</v>
      </c>
    </row>
    <row r="168" spans="1:28" x14ac:dyDescent="0.25">
      <c r="A168" s="21">
        <v>5225</v>
      </c>
      <c r="B168" s="21">
        <v>500182</v>
      </c>
      <c r="C168" s="21">
        <v>237</v>
      </c>
      <c r="D168" s="21">
        <v>16</v>
      </c>
      <c r="E168" s="21">
        <v>11</v>
      </c>
      <c r="F168" s="21">
        <v>2014</v>
      </c>
      <c r="G168" s="21" t="s">
        <v>637</v>
      </c>
      <c r="H168" s="21" t="s">
        <v>638</v>
      </c>
      <c r="I168" s="21" t="s">
        <v>639</v>
      </c>
      <c r="J168" s="21" t="s">
        <v>52</v>
      </c>
      <c r="K168" s="21">
        <v>5</v>
      </c>
      <c r="L168" s="21">
        <v>50.61</v>
      </c>
      <c r="M168" s="21" t="s">
        <v>87</v>
      </c>
      <c r="N168" s="21">
        <v>0</v>
      </c>
      <c r="O168" s="21">
        <v>1</v>
      </c>
      <c r="P168" s="21">
        <v>0</v>
      </c>
      <c r="Q168" s="21" t="s">
        <v>52</v>
      </c>
      <c r="R168" s="66">
        <v>41838.352997685186</v>
      </c>
      <c r="S168" s="66" t="s">
        <v>59</v>
      </c>
      <c r="T168" s="66" t="s">
        <v>60</v>
      </c>
      <c r="U168" s="66" t="s">
        <v>53</v>
      </c>
      <c r="V168" s="67">
        <v>0</v>
      </c>
      <c r="W168" s="67" t="s">
        <v>52</v>
      </c>
      <c r="X168" s="68">
        <v>41841.629027777781</v>
      </c>
      <c r="Y168" s="68">
        <v>41841.630023148151</v>
      </c>
      <c r="Z168" s="67">
        <v>0</v>
      </c>
      <c r="AA168" s="67">
        <f>IFERROR(IF(OR(C168&lt;&gt;C167,ABS(TEXT(Tabla_ss2p_pedidos[[#This Row],[fecha_solicitud]],"d")-TEXT(Tabla_ss2p_pedidos[[#This Row],[fecha_solicitud]],"d"))&gt;=1),1,AA167+1),1)</f>
        <v>6</v>
      </c>
      <c r="AB16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611201423721072014</v>
      </c>
    </row>
    <row r="169" spans="1:28" x14ac:dyDescent="0.25">
      <c r="A169" s="21">
        <v>5185</v>
      </c>
      <c r="B169" s="21">
        <v>505366</v>
      </c>
      <c r="C169" s="21">
        <v>237</v>
      </c>
      <c r="D169" s="21">
        <v>6</v>
      </c>
      <c r="E169" s="21">
        <v>11</v>
      </c>
      <c r="F169" s="21">
        <v>2014</v>
      </c>
      <c r="G169" s="21" t="s">
        <v>640</v>
      </c>
      <c r="H169" s="21" t="s">
        <v>641</v>
      </c>
      <c r="I169" s="21" t="s">
        <v>642</v>
      </c>
      <c r="J169" s="21" t="s">
        <v>52</v>
      </c>
      <c r="K169" s="21">
        <v>3</v>
      </c>
      <c r="L169" s="21">
        <v>65.53</v>
      </c>
      <c r="M169" s="21" t="s">
        <v>54</v>
      </c>
      <c r="N169" s="21">
        <v>0</v>
      </c>
      <c r="O169" s="21">
        <v>1</v>
      </c>
      <c r="P169" s="21">
        <v>0</v>
      </c>
      <c r="Q169" s="21" t="s">
        <v>52</v>
      </c>
      <c r="R169" s="66">
        <v>41838.352986111109</v>
      </c>
      <c r="S169" s="66" t="s">
        <v>59</v>
      </c>
      <c r="T169" s="66" t="s">
        <v>60</v>
      </c>
      <c r="U169" s="66" t="s">
        <v>53</v>
      </c>
      <c r="V169" s="67">
        <v>0</v>
      </c>
      <c r="W169" s="67" t="s">
        <v>52</v>
      </c>
      <c r="X169" s="68">
        <v>41841.647673611114</v>
      </c>
      <c r="Y169" s="68">
        <v>41841.650081018517</v>
      </c>
      <c r="Z169" s="67">
        <v>0</v>
      </c>
      <c r="AA169" s="67">
        <f>IFERROR(IF(OR(C169&lt;&gt;C168,ABS(TEXT(Tabla_ss2p_pedidos[[#This Row],[fecha_solicitud]],"d")-TEXT(Tabla_ss2p_pedidos[[#This Row],[fecha_solicitud]],"d"))&gt;=1),1,AA168+1),1)</f>
        <v>7</v>
      </c>
      <c r="AB16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711201423721072014</v>
      </c>
    </row>
    <row r="170" spans="1:28" x14ac:dyDescent="0.25">
      <c r="A170" s="21">
        <v>5333</v>
      </c>
      <c r="B170" s="21">
        <v>503594</v>
      </c>
      <c r="C170" s="21">
        <v>237</v>
      </c>
      <c r="D170" s="21">
        <v>12</v>
      </c>
      <c r="E170" s="21">
        <v>11</v>
      </c>
      <c r="F170" s="21">
        <v>2014</v>
      </c>
      <c r="G170" s="21" t="s">
        <v>643</v>
      </c>
      <c r="H170" s="21" t="s">
        <v>52</v>
      </c>
      <c r="I170" s="21" t="s">
        <v>52</v>
      </c>
      <c r="J170" s="21" t="s">
        <v>52</v>
      </c>
      <c r="K170" s="21">
        <v>3</v>
      </c>
      <c r="L170" s="21">
        <v>53.93</v>
      </c>
      <c r="M170" s="21" t="s">
        <v>52</v>
      </c>
      <c r="N170" s="21">
        <v>0</v>
      </c>
      <c r="O170" s="21">
        <v>1</v>
      </c>
      <c r="P170" s="21">
        <v>0</v>
      </c>
      <c r="Q170" s="21" t="s">
        <v>52</v>
      </c>
      <c r="R170" s="66">
        <v>41838.446574074071</v>
      </c>
      <c r="S170" s="66" t="s">
        <v>59</v>
      </c>
      <c r="T170" s="66" t="s">
        <v>60</v>
      </c>
      <c r="U170" s="66" t="s">
        <v>53</v>
      </c>
      <c r="V170" s="67">
        <v>0</v>
      </c>
      <c r="W170" s="67" t="s">
        <v>52</v>
      </c>
      <c r="X170" s="68">
        <v>41841.647824074076</v>
      </c>
      <c r="Y170" s="68">
        <v>41841.650138888886</v>
      </c>
      <c r="Z170" s="67">
        <v>0</v>
      </c>
      <c r="AA170" s="67">
        <f>IFERROR(IF(OR(C170&lt;&gt;C169,ABS(TEXT(Tabla_ss2p_pedidos[[#This Row],[fecha_solicitud]],"d")-TEXT(Tabla_ss2p_pedidos[[#This Row],[fecha_solicitud]],"d"))&gt;=1),1,AA169+1),1)</f>
        <v>8</v>
      </c>
      <c r="AB17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811201423721072014</v>
      </c>
    </row>
    <row r="171" spans="1:28" x14ac:dyDescent="0.25">
      <c r="A171" s="21">
        <v>5328</v>
      </c>
      <c r="B171" s="21">
        <v>22443</v>
      </c>
      <c r="C171" s="21">
        <v>237</v>
      </c>
      <c r="D171" s="21">
        <v>3</v>
      </c>
      <c r="E171" s="21">
        <v>11</v>
      </c>
      <c r="F171" s="21">
        <v>2014</v>
      </c>
      <c r="G171" s="21" t="s">
        <v>650</v>
      </c>
      <c r="H171" s="21" t="s">
        <v>52</v>
      </c>
      <c r="I171" s="21" t="s">
        <v>52</v>
      </c>
      <c r="J171" s="21" t="s">
        <v>52</v>
      </c>
      <c r="K171" s="21">
        <v>125</v>
      </c>
      <c r="L171" s="21">
        <v>60.19</v>
      </c>
      <c r="M171" s="21" t="s">
        <v>52</v>
      </c>
      <c r="N171" s="21">
        <v>0</v>
      </c>
      <c r="O171" s="21">
        <v>1</v>
      </c>
      <c r="P171" s="21">
        <v>0</v>
      </c>
      <c r="Q171" s="21" t="s">
        <v>52</v>
      </c>
      <c r="R171" s="66">
        <v>41838.446562500001</v>
      </c>
      <c r="S171" s="66" t="s">
        <v>59</v>
      </c>
      <c r="T171" s="66" t="s">
        <v>60</v>
      </c>
      <c r="U171" s="66" t="s">
        <v>53</v>
      </c>
      <c r="V171" s="67">
        <v>0</v>
      </c>
      <c r="W171" s="67" t="s">
        <v>52</v>
      </c>
      <c r="X171" s="68">
        <v>41841.660532407404</v>
      </c>
      <c r="Y171" s="68">
        <v>41841.662546296298</v>
      </c>
      <c r="Z171" s="67">
        <v>0</v>
      </c>
      <c r="AA171" s="67">
        <f>IFERROR(IF(OR(C171&lt;&gt;C170,ABS(TEXT(Tabla_ss2p_pedidos[[#This Row],[fecha_solicitud]],"d")-TEXT(Tabla_ss2p_pedidos[[#This Row],[fecha_solicitud]],"d"))&gt;=1),1,AA170+1),1)</f>
        <v>9</v>
      </c>
      <c r="AB17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911201423721072014</v>
      </c>
    </row>
    <row r="172" spans="1:28" x14ac:dyDescent="0.25">
      <c r="A172" s="21">
        <v>5203</v>
      </c>
      <c r="B172" s="21">
        <v>503648</v>
      </c>
      <c r="C172" s="21">
        <v>237</v>
      </c>
      <c r="D172" s="21">
        <v>10</v>
      </c>
      <c r="E172" s="21">
        <v>11</v>
      </c>
      <c r="F172" s="21">
        <v>2014</v>
      </c>
      <c r="G172" s="21" t="s">
        <v>647</v>
      </c>
      <c r="H172" s="21" t="s">
        <v>648</v>
      </c>
      <c r="I172" s="21" t="s">
        <v>649</v>
      </c>
      <c r="J172" s="21" t="s">
        <v>52</v>
      </c>
      <c r="K172" s="21">
        <v>4</v>
      </c>
      <c r="L172" s="21">
        <v>82.48</v>
      </c>
      <c r="M172" s="21" t="s">
        <v>58</v>
      </c>
      <c r="N172" s="21">
        <v>0</v>
      </c>
      <c r="O172" s="21">
        <v>1</v>
      </c>
      <c r="P172" s="21">
        <v>0</v>
      </c>
      <c r="Q172" s="21" t="s">
        <v>52</v>
      </c>
      <c r="R172" s="66">
        <v>41838.352997685186</v>
      </c>
      <c r="S172" s="66" t="s">
        <v>59</v>
      </c>
      <c r="T172" s="66" t="s">
        <v>60</v>
      </c>
      <c r="U172" s="66" t="s">
        <v>53</v>
      </c>
      <c r="V172" s="67">
        <v>0</v>
      </c>
      <c r="W172" s="67" t="s">
        <v>52</v>
      </c>
      <c r="X172" s="68">
        <v>41841.660682870373</v>
      </c>
      <c r="Y172" s="68">
        <v>41841.662488425929</v>
      </c>
      <c r="Z172" s="67">
        <v>0</v>
      </c>
      <c r="AA172" s="67">
        <f>IFERROR(IF(OR(C172&lt;&gt;C171,ABS(TEXT(Tabla_ss2p_pedidos[[#This Row],[fecha_solicitud]],"d")-TEXT(Tabla_ss2p_pedidos[[#This Row],[fecha_solicitud]],"d"))&gt;=1),1,AA171+1),1)</f>
        <v>10</v>
      </c>
      <c r="AB17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1011201423721072014</v>
      </c>
    </row>
    <row r="173" spans="1:28" x14ac:dyDescent="0.25">
      <c r="A173" s="21">
        <v>5173</v>
      </c>
      <c r="B173" s="21">
        <v>469554</v>
      </c>
      <c r="C173" s="21">
        <v>237</v>
      </c>
      <c r="D173" s="21">
        <v>4</v>
      </c>
      <c r="E173" s="21">
        <v>11</v>
      </c>
      <c r="F173" s="21">
        <v>2014</v>
      </c>
      <c r="G173" s="21" t="s">
        <v>644</v>
      </c>
      <c r="H173" s="21" t="s">
        <v>645</v>
      </c>
      <c r="I173" s="21" t="s">
        <v>646</v>
      </c>
      <c r="J173" s="21" t="s">
        <v>52</v>
      </c>
      <c r="K173" s="21">
        <v>21</v>
      </c>
      <c r="L173" s="21">
        <v>28.31</v>
      </c>
      <c r="M173" s="21" t="s">
        <v>54</v>
      </c>
      <c r="N173" s="21">
        <v>0</v>
      </c>
      <c r="O173" s="21">
        <v>1</v>
      </c>
      <c r="P173" s="21">
        <v>0</v>
      </c>
      <c r="Q173" s="21" t="s">
        <v>52</v>
      </c>
      <c r="R173" s="66">
        <v>41838.352986111109</v>
      </c>
      <c r="S173" s="66" t="s">
        <v>59</v>
      </c>
      <c r="T173" s="66" t="s">
        <v>60</v>
      </c>
      <c r="U173" s="66" t="s">
        <v>53</v>
      </c>
      <c r="V173" s="67">
        <v>0</v>
      </c>
      <c r="W173" s="67" t="s">
        <v>52</v>
      </c>
      <c r="X173" s="68">
        <v>41841.660798611112</v>
      </c>
      <c r="Y173" s="68">
        <v>41841.662453703706</v>
      </c>
      <c r="Z173" s="67">
        <v>0</v>
      </c>
      <c r="AA173" s="67">
        <f>IFERROR(IF(OR(C173&lt;&gt;C172,ABS(TEXT(Tabla_ss2p_pedidos[[#This Row],[fecha_solicitud]],"d")-TEXT(Tabla_ss2p_pedidos[[#This Row],[fecha_solicitud]],"d"))&gt;=1),1,AA172+1),1)</f>
        <v>11</v>
      </c>
      <c r="AB17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1111201423721072014</v>
      </c>
    </row>
    <row r="174" spans="1:28" x14ac:dyDescent="0.25">
      <c r="A174" s="21">
        <v>5332</v>
      </c>
      <c r="B174" s="21">
        <v>501361</v>
      </c>
      <c r="C174" s="21">
        <v>237</v>
      </c>
      <c r="D174" s="21">
        <v>12</v>
      </c>
      <c r="E174" s="21">
        <v>11</v>
      </c>
      <c r="F174" s="21">
        <v>2014</v>
      </c>
      <c r="G174" s="21" t="s">
        <v>651</v>
      </c>
      <c r="H174" s="21" t="s">
        <v>52</v>
      </c>
      <c r="I174" s="21" t="s">
        <v>52</v>
      </c>
      <c r="J174" s="21" t="s">
        <v>52</v>
      </c>
      <c r="K174" s="21">
        <v>4</v>
      </c>
      <c r="L174" s="21">
        <v>35</v>
      </c>
      <c r="M174" s="21" t="s">
        <v>52</v>
      </c>
      <c r="N174" s="21">
        <v>0</v>
      </c>
      <c r="O174" s="21">
        <v>1</v>
      </c>
      <c r="P174" s="21">
        <v>0</v>
      </c>
      <c r="Q174" s="21" t="s">
        <v>52</v>
      </c>
      <c r="R174" s="66">
        <v>41838.446574074071</v>
      </c>
      <c r="S174" s="66" t="s">
        <v>59</v>
      </c>
      <c r="T174" s="66" t="s">
        <v>60</v>
      </c>
      <c r="U174" s="66" t="s">
        <v>53</v>
      </c>
      <c r="V174" s="67">
        <v>0</v>
      </c>
      <c r="W174" s="67" t="s">
        <v>52</v>
      </c>
      <c r="X174" s="68">
        <v>41841.661377314813</v>
      </c>
      <c r="Y174" s="68">
        <v>41841.662662037037</v>
      </c>
      <c r="Z174" s="67">
        <v>0</v>
      </c>
      <c r="AA174" s="67">
        <f>IFERROR(IF(OR(C174&lt;&gt;C173,ABS(TEXT(Tabla_ss2p_pedidos[[#This Row],[fecha_solicitud]],"d")-TEXT(Tabla_ss2p_pedidos[[#This Row],[fecha_solicitud]],"d"))&gt;=1),1,AA173+1),1)</f>
        <v>12</v>
      </c>
      <c r="AB17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1211201423721072014</v>
      </c>
    </row>
    <row r="175" spans="1:28" x14ac:dyDescent="0.25">
      <c r="A175" s="21">
        <v>5184</v>
      </c>
      <c r="B175" s="21">
        <v>479925</v>
      </c>
      <c r="C175" s="21">
        <v>237</v>
      </c>
      <c r="D175" s="21">
        <v>5</v>
      </c>
      <c r="E175" s="21">
        <v>11</v>
      </c>
      <c r="F175" s="21">
        <v>2014</v>
      </c>
      <c r="G175" s="21" t="s">
        <v>652</v>
      </c>
      <c r="H175" s="21" t="s">
        <v>653</v>
      </c>
      <c r="I175" s="21" t="s">
        <v>654</v>
      </c>
      <c r="J175" s="21" t="s">
        <v>654</v>
      </c>
      <c r="K175" s="21">
        <v>17</v>
      </c>
      <c r="L175" s="21">
        <v>57.82</v>
      </c>
      <c r="M175" s="21" t="s">
        <v>56</v>
      </c>
      <c r="N175" s="21">
        <v>0</v>
      </c>
      <c r="O175" s="21">
        <v>1</v>
      </c>
      <c r="P175" s="21">
        <v>0</v>
      </c>
      <c r="Q175" s="21" t="s">
        <v>52</v>
      </c>
      <c r="R175" s="66">
        <v>41838.352986111109</v>
      </c>
      <c r="S175" s="66" t="s">
        <v>59</v>
      </c>
      <c r="T175" s="66" t="s">
        <v>60</v>
      </c>
      <c r="U175" s="66" t="s">
        <v>53</v>
      </c>
      <c r="V175" s="67">
        <v>0</v>
      </c>
      <c r="W175" s="67" t="s">
        <v>52</v>
      </c>
      <c r="X175" s="68">
        <v>41841.664502314816</v>
      </c>
      <c r="Y175" s="68">
        <v>41841.666527777779</v>
      </c>
      <c r="Z175" s="67">
        <v>0</v>
      </c>
      <c r="AA175" s="67">
        <f>IFERROR(IF(OR(C175&lt;&gt;C174,ABS(TEXT(Tabla_ss2p_pedidos[[#This Row],[fecha_solicitud]],"d")-TEXT(Tabla_ss2p_pedidos[[#This Row],[fecha_solicitud]],"d"))&gt;=1),1,AA174+1),1)</f>
        <v>13</v>
      </c>
      <c r="AB17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1311201423721072014</v>
      </c>
    </row>
    <row r="176" spans="1:28" x14ac:dyDescent="0.25">
      <c r="A176" s="21">
        <v>3792</v>
      </c>
      <c r="B176" s="21">
        <v>10448</v>
      </c>
      <c r="C176" s="21">
        <v>238</v>
      </c>
      <c r="D176" s="21">
        <v>18</v>
      </c>
      <c r="E176" s="21">
        <v>11</v>
      </c>
      <c r="F176" s="21">
        <v>2014</v>
      </c>
      <c r="G176" s="21" t="s">
        <v>170</v>
      </c>
      <c r="H176" s="21" t="s">
        <v>52</v>
      </c>
      <c r="I176" s="21" t="s">
        <v>52</v>
      </c>
      <c r="J176" s="21" t="s">
        <v>52</v>
      </c>
      <c r="K176" s="21">
        <v>219</v>
      </c>
      <c r="L176" s="21">
        <v>44.81</v>
      </c>
      <c r="M176" s="21" t="s">
        <v>52</v>
      </c>
      <c r="N176" s="21">
        <v>0</v>
      </c>
      <c r="O176" s="21">
        <v>1</v>
      </c>
      <c r="P176" s="21">
        <v>0</v>
      </c>
      <c r="Q176" s="21" t="s">
        <v>52</v>
      </c>
      <c r="R176" s="66">
        <v>41832.514108796298</v>
      </c>
      <c r="S176" s="66" t="s">
        <v>59</v>
      </c>
      <c r="T176" s="66" t="s">
        <v>169</v>
      </c>
      <c r="U176" s="66" t="s">
        <v>53</v>
      </c>
      <c r="V176" s="67">
        <v>0</v>
      </c>
      <c r="W176" s="67" t="s">
        <v>52</v>
      </c>
      <c r="X176" s="68">
        <v>41841.44121527778</v>
      </c>
      <c r="Y176" s="68">
        <v>41841.452141203707</v>
      </c>
      <c r="Z176" s="67">
        <v>0</v>
      </c>
      <c r="AA176" s="67">
        <f>IFERROR(IF(OR(C176&lt;&gt;C175,ABS(TEXT(Tabla_ss2p_pedidos[[#This Row],[fecha_solicitud]],"d")-TEXT(Tabla_ss2p_pedidos[[#This Row],[fecha_solicitud]],"d"))&gt;=1),1,AA175+1),1)</f>
        <v>1</v>
      </c>
      <c r="AB17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111201423821072014</v>
      </c>
    </row>
    <row r="177" spans="1:28" x14ac:dyDescent="0.25">
      <c r="A177" s="21">
        <v>3784</v>
      </c>
      <c r="B177" s="21">
        <v>483386</v>
      </c>
      <c r="C177" s="21">
        <v>238</v>
      </c>
      <c r="D177" s="21">
        <v>4</v>
      </c>
      <c r="E177" s="21">
        <v>11</v>
      </c>
      <c r="F177" s="21">
        <v>2014</v>
      </c>
      <c r="G177" s="21" t="s">
        <v>168</v>
      </c>
      <c r="H177" s="21" t="s">
        <v>52</v>
      </c>
      <c r="I177" s="21" t="s">
        <v>52</v>
      </c>
      <c r="J177" s="21" t="s">
        <v>52</v>
      </c>
      <c r="K177" s="21">
        <v>7</v>
      </c>
      <c r="L177" s="21">
        <v>36.58</v>
      </c>
      <c r="M177" s="21" t="s">
        <v>52</v>
      </c>
      <c r="N177" s="21">
        <v>0</v>
      </c>
      <c r="O177" s="21">
        <v>1</v>
      </c>
      <c r="P177" s="21">
        <v>0</v>
      </c>
      <c r="Q177" s="21" t="s">
        <v>52</v>
      </c>
      <c r="R177" s="66">
        <v>41832.514108796298</v>
      </c>
      <c r="S177" s="66" t="s">
        <v>59</v>
      </c>
      <c r="T177" s="66" t="s">
        <v>169</v>
      </c>
      <c r="U177" s="66" t="s">
        <v>53</v>
      </c>
      <c r="V177" s="67">
        <v>0</v>
      </c>
      <c r="W177" s="67" t="s">
        <v>52</v>
      </c>
      <c r="X177" s="68">
        <v>41841.442395833335</v>
      </c>
      <c r="Y177" s="68">
        <v>41841.452094907407</v>
      </c>
      <c r="Z177" s="67">
        <v>0</v>
      </c>
      <c r="AA177" s="67">
        <f>IFERROR(IF(OR(C177&lt;&gt;C176,ABS(TEXT(Tabla_ss2p_pedidos[[#This Row],[fecha_solicitud]],"d")-TEXT(Tabla_ss2p_pedidos[[#This Row],[fecha_solicitud]],"d"))&gt;=1),1,AA176+1),1)</f>
        <v>2</v>
      </c>
      <c r="AB17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211201423821072014</v>
      </c>
    </row>
    <row r="178" spans="1:28" x14ac:dyDescent="0.25">
      <c r="A178" s="21">
        <v>3738</v>
      </c>
      <c r="B178" s="21">
        <v>345143</v>
      </c>
      <c r="C178" s="21">
        <v>238</v>
      </c>
      <c r="D178" s="21">
        <v>11</v>
      </c>
      <c r="E178" s="21">
        <v>11</v>
      </c>
      <c r="F178" s="21">
        <v>2014</v>
      </c>
      <c r="G178" s="21" t="s">
        <v>175</v>
      </c>
      <c r="H178" s="21" t="s">
        <v>176</v>
      </c>
      <c r="I178" s="21" t="s">
        <v>177</v>
      </c>
      <c r="J178" s="21" t="s">
        <v>177</v>
      </c>
      <c r="K178" s="21">
        <v>59</v>
      </c>
      <c r="L178" s="21">
        <v>40.72</v>
      </c>
      <c r="M178" s="21" t="s">
        <v>56</v>
      </c>
      <c r="N178" s="21">
        <v>0</v>
      </c>
      <c r="O178" s="21">
        <v>1</v>
      </c>
      <c r="P178" s="21">
        <v>0</v>
      </c>
      <c r="Q178" s="21" t="s">
        <v>52</v>
      </c>
      <c r="R178" s="66">
        <v>41832.398125</v>
      </c>
      <c r="S178" s="66" t="s">
        <v>178</v>
      </c>
      <c r="T178" s="66" t="s">
        <v>169</v>
      </c>
      <c r="U178" s="66" t="s">
        <v>53</v>
      </c>
      <c r="V178" s="67">
        <v>0</v>
      </c>
      <c r="W178" s="67" t="s">
        <v>52</v>
      </c>
      <c r="X178" s="68">
        <v>41841.490763888891</v>
      </c>
      <c r="Y178" s="68">
        <v>41841.494699074072</v>
      </c>
      <c r="Z178" s="67">
        <v>0</v>
      </c>
      <c r="AA178" s="67">
        <f>IFERROR(IF(OR(C178&lt;&gt;C177,ABS(TEXT(Tabla_ss2p_pedidos[[#This Row],[fecha_solicitud]],"d")-TEXT(Tabla_ss2p_pedidos[[#This Row],[fecha_solicitud]],"d"))&gt;=1),1,AA177+1),1)</f>
        <v>3</v>
      </c>
      <c r="AB17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311201423821072014</v>
      </c>
    </row>
    <row r="179" spans="1:28" x14ac:dyDescent="0.25">
      <c r="A179" s="21">
        <v>3694</v>
      </c>
      <c r="B179" s="21">
        <v>457162</v>
      </c>
      <c r="C179" s="21">
        <v>238</v>
      </c>
      <c r="D179" s="21">
        <v>1</v>
      </c>
      <c r="E179" s="21">
        <v>11</v>
      </c>
      <c r="F179" s="21">
        <v>2014</v>
      </c>
      <c r="G179" s="21" t="s">
        <v>171</v>
      </c>
      <c r="H179" s="21" t="s">
        <v>172</v>
      </c>
      <c r="I179" s="21" t="s">
        <v>173</v>
      </c>
      <c r="J179" s="21" t="s">
        <v>173</v>
      </c>
      <c r="K179" s="21">
        <v>24</v>
      </c>
      <c r="L179" s="21">
        <v>35.24</v>
      </c>
      <c r="M179" s="21" t="s">
        <v>134</v>
      </c>
      <c r="N179" s="21">
        <v>0</v>
      </c>
      <c r="O179" s="21">
        <v>1</v>
      </c>
      <c r="P179" s="21">
        <v>0</v>
      </c>
      <c r="Q179" s="21" t="s">
        <v>52</v>
      </c>
      <c r="R179" s="66">
        <v>41832.398113425923</v>
      </c>
      <c r="S179" s="66" t="s">
        <v>59</v>
      </c>
      <c r="T179" s="66" t="s">
        <v>174</v>
      </c>
      <c r="U179" s="66" t="s">
        <v>53</v>
      </c>
      <c r="V179" s="67">
        <v>0</v>
      </c>
      <c r="W179" s="67" t="s">
        <v>52</v>
      </c>
      <c r="X179" s="68">
        <v>41841.490902777776</v>
      </c>
      <c r="Y179" s="68">
        <v>41841.494664351849</v>
      </c>
      <c r="Z179" s="67">
        <v>0</v>
      </c>
      <c r="AA179" s="67">
        <f>IFERROR(IF(OR(C179&lt;&gt;C178,ABS(TEXT(Tabla_ss2p_pedidos[[#This Row],[fecha_solicitud]],"d")-TEXT(Tabla_ss2p_pedidos[[#This Row],[fecha_solicitud]],"d"))&gt;=1),1,AA178+1),1)</f>
        <v>4</v>
      </c>
      <c r="AB17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411201423821072014</v>
      </c>
    </row>
    <row r="180" spans="1:28" x14ac:dyDescent="0.25">
      <c r="A180" s="21">
        <v>4184</v>
      </c>
      <c r="B180" s="21">
        <v>498475</v>
      </c>
      <c r="C180" s="21">
        <v>238</v>
      </c>
      <c r="D180" s="21">
        <v>18</v>
      </c>
      <c r="E180" s="21">
        <v>11</v>
      </c>
      <c r="F180" s="21">
        <v>2014</v>
      </c>
      <c r="G180" s="21" t="s">
        <v>655</v>
      </c>
      <c r="H180" s="21" t="s">
        <v>52</v>
      </c>
      <c r="I180" s="21" t="s">
        <v>52</v>
      </c>
      <c r="J180" s="21" t="s">
        <v>52</v>
      </c>
      <c r="K180" s="21">
        <v>6</v>
      </c>
      <c r="L180" s="21">
        <v>64.19</v>
      </c>
      <c r="M180" s="21" t="s">
        <v>52</v>
      </c>
      <c r="N180" s="21">
        <v>0</v>
      </c>
      <c r="O180" s="21">
        <v>1</v>
      </c>
      <c r="P180" s="21">
        <v>0</v>
      </c>
      <c r="Q180" s="21" t="s">
        <v>52</v>
      </c>
      <c r="R180" s="66">
        <v>41835.364120370374</v>
      </c>
      <c r="S180" s="66" t="s">
        <v>178</v>
      </c>
      <c r="T180" s="66" t="s">
        <v>169</v>
      </c>
      <c r="U180" s="66" t="s">
        <v>53</v>
      </c>
      <c r="V180" s="67">
        <v>0</v>
      </c>
      <c r="W180" s="67" t="s">
        <v>52</v>
      </c>
      <c r="X180" s="68">
        <v>41841.51494212963</v>
      </c>
      <c r="Y180" s="68">
        <v>41841.559733796297</v>
      </c>
      <c r="Z180" s="67">
        <v>0</v>
      </c>
      <c r="AA180" s="67">
        <f>IFERROR(IF(OR(C180&lt;&gt;C179,ABS(TEXT(Tabla_ss2p_pedidos[[#This Row],[fecha_solicitud]],"d")-TEXT(Tabla_ss2p_pedidos[[#This Row],[fecha_solicitud]],"d"))&gt;=1),1,AA179+1),1)</f>
        <v>5</v>
      </c>
      <c r="AB18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511201423821072014</v>
      </c>
    </row>
    <row r="181" spans="1:28" x14ac:dyDescent="0.25">
      <c r="A181" s="21">
        <v>3690</v>
      </c>
      <c r="B181" s="21">
        <v>476016</v>
      </c>
      <c r="C181" s="21">
        <v>238</v>
      </c>
      <c r="D181" s="21">
        <v>1</v>
      </c>
      <c r="E181" s="21">
        <v>11</v>
      </c>
      <c r="F181" s="21">
        <v>2014</v>
      </c>
      <c r="G181" s="21" t="s">
        <v>659</v>
      </c>
      <c r="H181" s="21" t="s">
        <v>660</v>
      </c>
      <c r="I181" s="21" t="s">
        <v>661</v>
      </c>
      <c r="J181" s="21" t="s">
        <v>661</v>
      </c>
      <c r="K181" s="21">
        <v>17</v>
      </c>
      <c r="L181" s="21">
        <v>63.53</v>
      </c>
      <c r="M181" s="21" t="s">
        <v>54</v>
      </c>
      <c r="N181" s="21">
        <v>0</v>
      </c>
      <c r="O181" s="21">
        <v>1</v>
      </c>
      <c r="P181" s="21">
        <v>0</v>
      </c>
      <c r="Q181" s="21" t="s">
        <v>52</v>
      </c>
      <c r="R181" s="66">
        <v>41832.398113425923</v>
      </c>
      <c r="S181" s="66" t="s">
        <v>372</v>
      </c>
      <c r="T181" s="66" t="s">
        <v>174</v>
      </c>
      <c r="U181" s="66" t="s">
        <v>53</v>
      </c>
      <c r="V181" s="67">
        <v>0</v>
      </c>
      <c r="W181" s="67" t="s">
        <v>52</v>
      </c>
      <c r="X181" s="68">
        <v>41841.59238425926</v>
      </c>
      <c r="Y181" s="68">
        <v>41841.597222222219</v>
      </c>
      <c r="Z181" s="67">
        <v>0</v>
      </c>
      <c r="AA181" s="67">
        <f>IFERROR(IF(OR(C181&lt;&gt;C180,ABS(TEXT(Tabla_ss2p_pedidos[[#This Row],[fecha_solicitud]],"d")-TEXT(Tabla_ss2p_pedidos[[#This Row],[fecha_solicitud]],"d"))&gt;=1),1,AA180+1),1)</f>
        <v>6</v>
      </c>
      <c r="AB18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611201423821072014</v>
      </c>
    </row>
    <row r="182" spans="1:28" x14ac:dyDescent="0.25">
      <c r="A182" s="21">
        <v>3702</v>
      </c>
      <c r="B182" s="21">
        <v>494366</v>
      </c>
      <c r="C182" s="21">
        <v>238</v>
      </c>
      <c r="D182" s="21">
        <v>3</v>
      </c>
      <c r="E182" s="21">
        <v>11</v>
      </c>
      <c r="F182" s="21">
        <v>2014</v>
      </c>
      <c r="G182" s="21" t="s">
        <v>656</v>
      </c>
      <c r="H182" s="21" t="s">
        <v>657</v>
      </c>
      <c r="I182" s="21" t="s">
        <v>658</v>
      </c>
      <c r="J182" s="21" t="s">
        <v>52</v>
      </c>
      <c r="K182" s="21">
        <v>9</v>
      </c>
      <c r="L182" s="21">
        <v>49.64</v>
      </c>
      <c r="M182" s="21" t="s">
        <v>54</v>
      </c>
      <c r="N182" s="21">
        <v>0</v>
      </c>
      <c r="O182" s="21">
        <v>1</v>
      </c>
      <c r="P182" s="21">
        <v>0</v>
      </c>
      <c r="Q182" s="21" t="s">
        <v>52</v>
      </c>
      <c r="R182" s="66">
        <v>41832.398125</v>
      </c>
      <c r="S182" s="66" t="s">
        <v>59</v>
      </c>
      <c r="T182" s="66" t="s">
        <v>169</v>
      </c>
      <c r="U182" s="66" t="s">
        <v>53</v>
      </c>
      <c r="V182" s="67">
        <v>0</v>
      </c>
      <c r="W182" s="67" t="s">
        <v>52</v>
      </c>
      <c r="X182" s="68">
        <v>41841.592511574076</v>
      </c>
      <c r="Y182" s="68">
        <v>41841.597094907411</v>
      </c>
      <c r="Z182" s="67">
        <v>0</v>
      </c>
      <c r="AA182" s="67">
        <f>IFERROR(IF(OR(C182&lt;&gt;C181,ABS(TEXT(Tabla_ss2p_pedidos[[#This Row],[fecha_solicitud]],"d")-TEXT(Tabla_ss2p_pedidos[[#This Row],[fecha_solicitud]],"d"))&gt;=1),1,AA181+1),1)</f>
        <v>7</v>
      </c>
      <c r="AB18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711201423821072014</v>
      </c>
    </row>
    <row r="183" spans="1:28" x14ac:dyDescent="0.25">
      <c r="A183" s="21">
        <v>3704</v>
      </c>
      <c r="B183" s="21">
        <v>455597</v>
      </c>
      <c r="C183" s="21">
        <v>238</v>
      </c>
      <c r="D183" s="21">
        <v>3</v>
      </c>
      <c r="E183" s="21">
        <v>11</v>
      </c>
      <c r="F183" s="21">
        <v>2014</v>
      </c>
      <c r="G183" s="21" t="s">
        <v>662</v>
      </c>
      <c r="H183" s="21" t="s">
        <v>663</v>
      </c>
      <c r="I183" s="21" t="s">
        <v>664</v>
      </c>
      <c r="J183" s="21" t="s">
        <v>664</v>
      </c>
      <c r="K183" s="21">
        <v>27</v>
      </c>
      <c r="L183" s="21">
        <v>37.51</v>
      </c>
      <c r="M183" s="21" t="s">
        <v>56</v>
      </c>
      <c r="N183" s="21">
        <v>0</v>
      </c>
      <c r="O183" s="21">
        <v>1</v>
      </c>
      <c r="P183" s="21">
        <v>0</v>
      </c>
      <c r="Q183" s="21" t="s">
        <v>52</v>
      </c>
      <c r="R183" s="66">
        <v>41832.398125</v>
      </c>
      <c r="S183" s="66" t="s">
        <v>59</v>
      </c>
      <c r="T183" s="66" t="s">
        <v>169</v>
      </c>
      <c r="U183" s="66" t="s">
        <v>53</v>
      </c>
      <c r="V183" s="67">
        <v>0</v>
      </c>
      <c r="W183" s="67" t="s">
        <v>52</v>
      </c>
      <c r="X183" s="68">
        <v>41841.627256944441</v>
      </c>
      <c r="Y183" s="68">
        <v>41841.628761574073</v>
      </c>
      <c r="Z183" s="67">
        <v>0</v>
      </c>
      <c r="AA183" s="67">
        <f>IFERROR(IF(OR(C183&lt;&gt;C182,ABS(TEXT(Tabla_ss2p_pedidos[[#This Row],[fecha_solicitud]],"d")-TEXT(Tabla_ss2p_pedidos[[#This Row],[fecha_solicitud]],"d"))&gt;=1),1,AA182+1),1)</f>
        <v>8</v>
      </c>
      <c r="AB18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811201423821072014</v>
      </c>
    </row>
    <row r="184" spans="1:28" x14ac:dyDescent="0.25">
      <c r="A184" s="21">
        <v>3698</v>
      </c>
      <c r="B184" s="21">
        <v>502671</v>
      </c>
      <c r="C184" s="21">
        <v>238</v>
      </c>
      <c r="D184" s="21">
        <v>2</v>
      </c>
      <c r="E184" s="21">
        <v>11</v>
      </c>
      <c r="F184" s="21">
        <v>2014</v>
      </c>
      <c r="G184" s="21" t="s">
        <v>665</v>
      </c>
      <c r="H184" s="21" t="s">
        <v>666</v>
      </c>
      <c r="I184" s="21" t="s">
        <v>667</v>
      </c>
      <c r="J184" s="21" t="s">
        <v>667</v>
      </c>
      <c r="K184" s="21">
        <v>4</v>
      </c>
      <c r="L184" s="21">
        <v>92.33</v>
      </c>
      <c r="M184" s="21" t="s">
        <v>54</v>
      </c>
      <c r="N184" s="21">
        <v>13.11</v>
      </c>
      <c r="O184" s="21">
        <v>2</v>
      </c>
      <c r="P184" s="21">
        <v>0</v>
      </c>
      <c r="Q184" s="21" t="s">
        <v>52</v>
      </c>
      <c r="R184" s="66">
        <v>41832.398125</v>
      </c>
      <c r="S184" s="66" t="s">
        <v>59</v>
      </c>
      <c r="T184" s="66" t="s">
        <v>169</v>
      </c>
      <c r="U184" s="66" t="s">
        <v>53</v>
      </c>
      <c r="V184" s="67">
        <v>0</v>
      </c>
      <c r="W184" s="67" t="s">
        <v>52</v>
      </c>
      <c r="X184" s="68">
        <v>41841.685381944444</v>
      </c>
      <c r="Y184" s="68">
        <v>41841.688055555554</v>
      </c>
      <c r="Z184" s="67">
        <v>0</v>
      </c>
      <c r="AA184" s="67">
        <f>IFERROR(IF(OR(C184&lt;&gt;C183,ABS(TEXT(Tabla_ss2p_pedidos[[#This Row],[fecha_solicitud]],"d")-TEXT(Tabla_ss2p_pedidos[[#This Row],[fecha_solicitud]],"d"))&gt;=1),1,AA183+1),1)</f>
        <v>9</v>
      </c>
      <c r="AB18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911201423821072014</v>
      </c>
    </row>
    <row r="185" spans="1:28" x14ac:dyDescent="0.25">
      <c r="A185" s="21">
        <v>5529</v>
      </c>
      <c r="B185" s="21">
        <v>12000</v>
      </c>
      <c r="C185" s="21">
        <v>239</v>
      </c>
      <c r="D185" s="21">
        <v>1</v>
      </c>
      <c r="E185" s="21">
        <v>11</v>
      </c>
      <c r="F185" s="21">
        <v>2014</v>
      </c>
      <c r="G185" s="21" t="s">
        <v>668</v>
      </c>
      <c r="H185" s="21" t="s">
        <v>669</v>
      </c>
      <c r="I185" s="21" t="s">
        <v>670</v>
      </c>
      <c r="J185" s="21" t="s">
        <v>671</v>
      </c>
      <c r="K185" s="21">
        <v>239</v>
      </c>
      <c r="L185" s="21">
        <v>57.61</v>
      </c>
      <c r="M185" s="21" t="s">
        <v>56</v>
      </c>
      <c r="N185" s="21">
        <v>0</v>
      </c>
      <c r="O185" s="21">
        <v>2</v>
      </c>
      <c r="P185" s="21">
        <v>0</v>
      </c>
      <c r="Q185" s="21" t="s">
        <v>52</v>
      </c>
      <c r="R185" s="66">
        <v>41839.397974537038</v>
      </c>
      <c r="S185" s="66" t="s">
        <v>59</v>
      </c>
      <c r="T185" s="66" t="s">
        <v>672</v>
      </c>
      <c r="U185" s="66" t="s">
        <v>53</v>
      </c>
      <c r="V185" s="67">
        <v>0</v>
      </c>
      <c r="W185" s="67" t="s">
        <v>52</v>
      </c>
      <c r="X185" s="68">
        <v>41841.656805555554</v>
      </c>
      <c r="Y185" s="68">
        <v>41841.660555555558</v>
      </c>
      <c r="Z185" s="67">
        <v>0</v>
      </c>
      <c r="AA185" s="67">
        <f>IFERROR(IF(OR(C185&lt;&gt;C184,ABS(TEXT(Tabla_ss2p_pedidos[[#This Row],[fecha_solicitud]],"d")-TEXT(Tabla_ss2p_pedidos[[#This Row],[fecha_solicitud]],"d"))&gt;=1),1,AA184+1),1)</f>
        <v>1</v>
      </c>
      <c r="AB18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111201423921072014</v>
      </c>
    </row>
    <row r="186" spans="1:28" x14ac:dyDescent="0.25">
      <c r="A186" s="21">
        <v>5531</v>
      </c>
      <c r="B186" s="21">
        <v>503868</v>
      </c>
      <c r="C186" s="21">
        <v>239</v>
      </c>
      <c r="D186" s="21">
        <v>2</v>
      </c>
      <c r="E186" s="21">
        <v>11</v>
      </c>
      <c r="F186" s="21">
        <v>2014</v>
      </c>
      <c r="G186" s="21" t="s">
        <v>673</v>
      </c>
      <c r="H186" s="21" t="s">
        <v>674</v>
      </c>
      <c r="I186" s="21" t="s">
        <v>675</v>
      </c>
      <c r="J186" s="21" t="s">
        <v>52</v>
      </c>
      <c r="K186" s="21">
        <v>4</v>
      </c>
      <c r="L186" s="21">
        <v>60.53</v>
      </c>
      <c r="M186" s="21" t="s">
        <v>56</v>
      </c>
      <c r="N186" s="21">
        <v>0</v>
      </c>
      <c r="O186" s="21">
        <v>1</v>
      </c>
      <c r="P186" s="21">
        <v>0</v>
      </c>
      <c r="Q186" s="21" t="s">
        <v>52</v>
      </c>
      <c r="R186" s="66">
        <v>41839.397974537038</v>
      </c>
      <c r="S186" s="66" t="s">
        <v>59</v>
      </c>
      <c r="T186" s="66" t="s">
        <v>672</v>
      </c>
      <c r="U186" s="66" t="s">
        <v>53</v>
      </c>
      <c r="V186" s="67">
        <v>0</v>
      </c>
      <c r="W186" s="67" t="s">
        <v>52</v>
      </c>
      <c r="X186" s="68">
        <v>41841.656898148147</v>
      </c>
      <c r="Y186" s="68">
        <v>41841.660601851851</v>
      </c>
      <c r="Z186" s="67">
        <v>0</v>
      </c>
      <c r="AA186" s="67">
        <f>IFERROR(IF(OR(C186&lt;&gt;C185,ABS(TEXT(Tabla_ss2p_pedidos[[#This Row],[fecha_solicitud]],"d")-TEXT(Tabla_ss2p_pedidos[[#This Row],[fecha_solicitud]],"d"))&gt;=1),1,AA185+1),1)</f>
        <v>2</v>
      </c>
      <c r="AB18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211201423921072014</v>
      </c>
    </row>
    <row r="187" spans="1:28" x14ac:dyDescent="0.25">
      <c r="A187" s="21">
        <v>5537</v>
      </c>
      <c r="B187" s="21">
        <v>414761</v>
      </c>
      <c r="C187" s="21">
        <v>239</v>
      </c>
      <c r="D187" s="21">
        <v>4</v>
      </c>
      <c r="E187" s="21">
        <v>11</v>
      </c>
      <c r="F187" s="21">
        <v>2014</v>
      </c>
      <c r="G187" s="21" t="s">
        <v>676</v>
      </c>
      <c r="H187" s="21" t="s">
        <v>677</v>
      </c>
      <c r="I187" s="21" t="s">
        <v>678</v>
      </c>
      <c r="J187" s="21" t="s">
        <v>679</v>
      </c>
      <c r="K187" s="21">
        <v>50</v>
      </c>
      <c r="L187" s="21">
        <v>48.64</v>
      </c>
      <c r="M187" s="21" t="s">
        <v>56</v>
      </c>
      <c r="N187" s="21">
        <v>0</v>
      </c>
      <c r="O187" s="21">
        <v>1</v>
      </c>
      <c r="P187" s="21">
        <v>0</v>
      </c>
      <c r="Q187" s="21" t="s">
        <v>52</v>
      </c>
      <c r="R187" s="66">
        <v>41839.397974537038</v>
      </c>
      <c r="S187" s="66" t="s">
        <v>59</v>
      </c>
      <c r="T187" s="66" t="s">
        <v>672</v>
      </c>
      <c r="U187" s="66" t="s">
        <v>53</v>
      </c>
      <c r="V187" s="67">
        <v>0</v>
      </c>
      <c r="W187" s="67" t="s">
        <v>52</v>
      </c>
      <c r="X187" s="68">
        <v>41841.657013888886</v>
      </c>
      <c r="Y187" s="68">
        <v>41841.66064814815</v>
      </c>
      <c r="Z187" s="67">
        <v>0</v>
      </c>
      <c r="AA187" s="67">
        <f>IFERROR(IF(OR(C187&lt;&gt;C186,ABS(TEXT(Tabla_ss2p_pedidos[[#This Row],[fecha_solicitud]],"d")-TEXT(Tabla_ss2p_pedidos[[#This Row],[fecha_solicitud]],"d"))&gt;=1),1,AA186+1),1)</f>
        <v>3</v>
      </c>
      <c r="AB18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311201423921072014</v>
      </c>
    </row>
    <row r="188" spans="1:28" x14ac:dyDescent="0.25">
      <c r="A188" s="21">
        <v>5538</v>
      </c>
      <c r="B188" s="21">
        <v>485558</v>
      </c>
      <c r="C188" s="21">
        <v>239</v>
      </c>
      <c r="D188" s="21">
        <v>5</v>
      </c>
      <c r="E188" s="21">
        <v>11</v>
      </c>
      <c r="F188" s="21">
        <v>2014</v>
      </c>
      <c r="G188" s="21" t="s">
        <v>680</v>
      </c>
      <c r="H188" s="21" t="s">
        <v>681</v>
      </c>
      <c r="I188" s="21" t="s">
        <v>682</v>
      </c>
      <c r="J188" s="21" t="s">
        <v>683</v>
      </c>
      <c r="K188" s="21">
        <v>14</v>
      </c>
      <c r="L188" s="21">
        <v>0</v>
      </c>
      <c r="M188" s="21" t="s">
        <v>58</v>
      </c>
      <c r="N188" s="21">
        <v>0</v>
      </c>
      <c r="O188" s="21">
        <v>1</v>
      </c>
      <c r="P188" s="21">
        <v>0</v>
      </c>
      <c r="Q188" s="21" t="s">
        <v>52</v>
      </c>
      <c r="R188" s="66">
        <v>41839.397974537038</v>
      </c>
      <c r="S188" s="66" t="s">
        <v>59</v>
      </c>
      <c r="T188" s="66" t="s">
        <v>672</v>
      </c>
      <c r="U188" s="66" t="s">
        <v>53</v>
      </c>
      <c r="V188" s="67">
        <v>0</v>
      </c>
      <c r="W188" s="67" t="s">
        <v>52</v>
      </c>
      <c r="X188" s="68">
        <v>41841.657118055555</v>
      </c>
      <c r="Y188" s="68">
        <v>41841.660752314812</v>
      </c>
      <c r="Z188" s="67">
        <v>0</v>
      </c>
      <c r="AA188" s="67">
        <f>IFERROR(IF(OR(C188&lt;&gt;C187,ABS(TEXT(Tabla_ss2p_pedidos[[#This Row],[fecha_solicitud]],"d")-TEXT(Tabla_ss2p_pedidos[[#This Row],[fecha_solicitud]],"d"))&gt;=1),1,AA187+1),1)</f>
        <v>4</v>
      </c>
      <c r="AB18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411201423921072014</v>
      </c>
    </row>
    <row r="189" spans="1:28" x14ac:dyDescent="0.25">
      <c r="A189" s="21">
        <v>5544</v>
      </c>
      <c r="B189" s="21">
        <v>480524</v>
      </c>
      <c r="C189" s="21">
        <v>239</v>
      </c>
      <c r="D189" s="21">
        <v>6</v>
      </c>
      <c r="E189" s="21">
        <v>11</v>
      </c>
      <c r="F189" s="21">
        <v>2014</v>
      </c>
      <c r="G189" s="21" t="s">
        <v>684</v>
      </c>
      <c r="H189" s="21" t="s">
        <v>685</v>
      </c>
      <c r="I189" s="21" t="s">
        <v>686</v>
      </c>
      <c r="J189" s="21" t="s">
        <v>686</v>
      </c>
      <c r="K189" s="21">
        <v>15</v>
      </c>
      <c r="L189" s="21">
        <v>85.08</v>
      </c>
      <c r="M189" s="21" t="s">
        <v>56</v>
      </c>
      <c r="N189" s="21">
        <v>0</v>
      </c>
      <c r="O189" s="21">
        <v>1</v>
      </c>
      <c r="P189" s="21">
        <v>0</v>
      </c>
      <c r="Q189" s="21" t="s">
        <v>52</v>
      </c>
      <c r="R189" s="66">
        <v>41839.397974537038</v>
      </c>
      <c r="S189" s="66" t="s">
        <v>59</v>
      </c>
      <c r="T189" s="66" t="s">
        <v>672</v>
      </c>
      <c r="U189" s="66" t="s">
        <v>53</v>
      </c>
      <c r="V189" s="67">
        <v>0</v>
      </c>
      <c r="W189" s="67" t="s">
        <v>52</v>
      </c>
      <c r="X189" s="68">
        <v>41841.657233796293</v>
      </c>
      <c r="Y189" s="68">
        <v>41841.660798611112</v>
      </c>
      <c r="Z189" s="67">
        <v>0</v>
      </c>
      <c r="AA189" s="67">
        <f>IFERROR(IF(OR(C189&lt;&gt;C188,ABS(TEXT(Tabla_ss2p_pedidos[[#This Row],[fecha_solicitud]],"d")-TEXT(Tabla_ss2p_pedidos[[#This Row],[fecha_solicitud]],"d"))&gt;=1),1,AA188+1),1)</f>
        <v>5</v>
      </c>
      <c r="AB18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511201423921072014</v>
      </c>
    </row>
    <row r="190" spans="1:28" x14ac:dyDescent="0.25">
      <c r="A190" s="21">
        <v>5549</v>
      </c>
      <c r="B190" s="21">
        <v>479291</v>
      </c>
      <c r="C190" s="21">
        <v>239</v>
      </c>
      <c r="D190" s="21">
        <v>7</v>
      </c>
      <c r="E190" s="21">
        <v>11</v>
      </c>
      <c r="F190" s="21">
        <v>2014</v>
      </c>
      <c r="G190" s="21" t="s">
        <v>687</v>
      </c>
      <c r="H190" s="21" t="s">
        <v>688</v>
      </c>
      <c r="I190" s="21" t="s">
        <v>689</v>
      </c>
      <c r="J190" s="21" t="s">
        <v>52</v>
      </c>
      <c r="K190" s="21">
        <v>8</v>
      </c>
      <c r="L190" s="21">
        <v>45.96</v>
      </c>
      <c r="M190" s="21" t="s">
        <v>56</v>
      </c>
      <c r="N190" s="21">
        <v>0</v>
      </c>
      <c r="O190" s="21">
        <v>1</v>
      </c>
      <c r="P190" s="21">
        <v>0</v>
      </c>
      <c r="Q190" s="21" t="s">
        <v>52</v>
      </c>
      <c r="R190" s="66">
        <v>41839.397986111115</v>
      </c>
      <c r="S190" s="66" t="s">
        <v>59</v>
      </c>
      <c r="T190" s="66" t="s">
        <v>672</v>
      </c>
      <c r="U190" s="66" t="s">
        <v>53</v>
      </c>
      <c r="V190" s="67">
        <v>0</v>
      </c>
      <c r="W190" s="67" t="s">
        <v>52</v>
      </c>
      <c r="X190" s="68">
        <v>41841.657361111109</v>
      </c>
      <c r="Y190" s="68">
        <v>41841.660868055558</v>
      </c>
      <c r="Z190" s="67">
        <v>0</v>
      </c>
      <c r="AA190" s="67">
        <f>IFERROR(IF(OR(C190&lt;&gt;C189,ABS(TEXT(Tabla_ss2p_pedidos[[#This Row],[fecha_solicitud]],"d")-TEXT(Tabla_ss2p_pedidos[[#This Row],[fecha_solicitud]],"d"))&gt;=1),1,AA189+1),1)</f>
        <v>6</v>
      </c>
      <c r="AB19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611201423921072014</v>
      </c>
    </row>
    <row r="191" spans="1:28" x14ac:dyDescent="0.25">
      <c r="A191" s="21">
        <v>5552</v>
      </c>
      <c r="B191" s="21">
        <v>112928</v>
      </c>
      <c r="C191" s="21">
        <v>239</v>
      </c>
      <c r="D191" s="21">
        <v>8</v>
      </c>
      <c r="E191" s="21">
        <v>11</v>
      </c>
      <c r="F191" s="21">
        <v>2014</v>
      </c>
      <c r="G191" s="21" t="s">
        <v>690</v>
      </c>
      <c r="H191" s="21" t="s">
        <v>691</v>
      </c>
      <c r="I191" s="21" t="s">
        <v>52</v>
      </c>
      <c r="J191" s="21" t="s">
        <v>52</v>
      </c>
      <c r="K191" s="21">
        <v>54</v>
      </c>
      <c r="L191" s="21">
        <v>72.47</v>
      </c>
      <c r="M191" s="21" t="s">
        <v>134</v>
      </c>
      <c r="N191" s="21">
        <v>0</v>
      </c>
      <c r="O191" s="21">
        <v>1</v>
      </c>
      <c r="P191" s="21">
        <v>0</v>
      </c>
      <c r="Q191" s="21" t="s">
        <v>52</v>
      </c>
      <c r="R191" s="66">
        <v>41839.397986111115</v>
      </c>
      <c r="S191" s="66" t="s">
        <v>59</v>
      </c>
      <c r="T191" s="66" t="s">
        <v>672</v>
      </c>
      <c r="U191" s="66" t="s">
        <v>53</v>
      </c>
      <c r="V191" s="67">
        <v>0</v>
      </c>
      <c r="W191" s="67" t="s">
        <v>52</v>
      </c>
      <c r="X191" s="68">
        <v>41841.657500000001</v>
      </c>
      <c r="Y191" s="68">
        <v>41841.660914351851</v>
      </c>
      <c r="Z191" s="67">
        <v>0</v>
      </c>
      <c r="AA191" s="67">
        <f>IFERROR(IF(OR(C191&lt;&gt;C190,ABS(TEXT(Tabla_ss2p_pedidos[[#This Row],[fecha_solicitud]],"d")-TEXT(Tabla_ss2p_pedidos[[#This Row],[fecha_solicitud]],"d"))&gt;=1),1,AA190+1),1)</f>
        <v>7</v>
      </c>
      <c r="AB19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711201423921072014</v>
      </c>
    </row>
    <row r="192" spans="1:28" x14ac:dyDescent="0.25">
      <c r="A192" s="21">
        <v>5557</v>
      </c>
      <c r="B192" s="21">
        <v>506564</v>
      </c>
      <c r="C192" s="21">
        <v>239</v>
      </c>
      <c r="D192" s="21">
        <v>9</v>
      </c>
      <c r="E192" s="21">
        <v>11</v>
      </c>
      <c r="F192" s="21">
        <v>2014</v>
      </c>
      <c r="G192" s="21" t="s">
        <v>692</v>
      </c>
      <c r="H192" s="21" t="s">
        <v>693</v>
      </c>
      <c r="I192" s="21" t="s">
        <v>694</v>
      </c>
      <c r="J192" s="21" t="s">
        <v>694</v>
      </c>
      <c r="K192" s="21">
        <v>2</v>
      </c>
      <c r="L192" s="21">
        <v>139.21</v>
      </c>
      <c r="M192" s="21" t="s">
        <v>58</v>
      </c>
      <c r="N192" s="21">
        <v>0</v>
      </c>
      <c r="O192" s="21">
        <v>1</v>
      </c>
      <c r="P192" s="21">
        <v>0</v>
      </c>
      <c r="Q192" s="21" t="s">
        <v>52</v>
      </c>
      <c r="R192" s="66">
        <v>41839.397986111115</v>
      </c>
      <c r="S192" s="66" t="s">
        <v>59</v>
      </c>
      <c r="T192" s="66" t="s">
        <v>672</v>
      </c>
      <c r="U192" s="66" t="s">
        <v>53</v>
      </c>
      <c r="V192" s="67">
        <v>0</v>
      </c>
      <c r="W192" s="67" t="s">
        <v>52</v>
      </c>
      <c r="X192" s="68">
        <v>41841.657592592594</v>
      </c>
      <c r="Y192" s="68">
        <v>41841.66097222222</v>
      </c>
      <c r="Z192" s="67">
        <v>0</v>
      </c>
      <c r="AA192" s="67">
        <f>IFERROR(IF(OR(C192&lt;&gt;C191,ABS(TEXT(Tabla_ss2p_pedidos[[#This Row],[fecha_solicitud]],"d")-TEXT(Tabla_ss2p_pedidos[[#This Row],[fecha_solicitud]],"d"))&gt;=1),1,AA191+1),1)</f>
        <v>8</v>
      </c>
      <c r="AB19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811201423921072014</v>
      </c>
    </row>
    <row r="193" spans="1:28" x14ac:dyDescent="0.25">
      <c r="A193" s="21">
        <v>5576</v>
      </c>
      <c r="B193" s="21">
        <v>20516</v>
      </c>
      <c r="C193" s="21">
        <v>239</v>
      </c>
      <c r="D193" s="21">
        <v>99</v>
      </c>
      <c r="E193" s="21">
        <v>11</v>
      </c>
      <c r="F193" s="21">
        <v>2014</v>
      </c>
      <c r="G193" s="21" t="s">
        <v>695</v>
      </c>
      <c r="H193" s="21" t="s">
        <v>696</v>
      </c>
      <c r="I193" s="21" t="s">
        <v>697</v>
      </c>
      <c r="J193" s="21" t="s">
        <v>698</v>
      </c>
      <c r="K193" s="21">
        <v>162</v>
      </c>
      <c r="L193" s="21">
        <v>362.64</v>
      </c>
      <c r="M193" s="21" t="s">
        <v>56</v>
      </c>
      <c r="N193" s="21">
        <v>7.984</v>
      </c>
      <c r="O193" s="21">
        <v>3</v>
      </c>
      <c r="P193" s="21">
        <v>0</v>
      </c>
      <c r="Q193" s="21" t="s">
        <v>52</v>
      </c>
      <c r="R193" s="66">
        <v>41839.397997685184</v>
      </c>
      <c r="S193" s="66" t="s">
        <v>59</v>
      </c>
      <c r="T193" s="66" t="s">
        <v>672</v>
      </c>
      <c r="U193" s="66" t="s">
        <v>53</v>
      </c>
      <c r="V193" s="67">
        <v>0</v>
      </c>
      <c r="W193" s="67" t="s">
        <v>52</v>
      </c>
      <c r="X193" s="68">
        <v>41841.657789351855</v>
      </c>
      <c r="Y193" s="68">
        <v>41841.66101851852</v>
      </c>
      <c r="Z193" s="67">
        <v>0</v>
      </c>
      <c r="AA193" s="67">
        <f>IFERROR(IF(OR(C193&lt;&gt;C192,ABS(TEXT(Tabla_ss2p_pedidos[[#This Row],[fecha_solicitud]],"d")-TEXT(Tabla_ss2p_pedidos[[#This Row],[fecha_solicitud]],"d"))&gt;=1),1,AA192+1),1)</f>
        <v>9</v>
      </c>
      <c r="AB19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911201423921072014</v>
      </c>
    </row>
    <row r="196" spans="1:28" x14ac:dyDescent="0.25">
      <c r="L196" t="str">
        <f>IF(B196="","",I196-J196-K196)</f>
        <v/>
      </c>
    </row>
    <row r="199" spans="1:28" x14ac:dyDescent="0.25">
      <c r="F199" t="str">
        <f>IFERROR(INDEX(DATOS!W:W,MATCH(A199&amp;$K$194&amp;TEXT($A$194,"yyyy")&amp;$F$194&amp;TEXT($A$194,"ddmmyyyy"),DATOS!AB:AB,0),0),"")</f>
        <v/>
      </c>
    </row>
    <row r="200" spans="1:28" x14ac:dyDescent="0.25">
      <c r="F200" t="str">
        <f>IFERROR(INDEX(DATOS!W:W,MATCH(A200&amp;$K$194&amp;TEXT($A$194,"yyyy")&amp;$F$194&amp;TEXT($A$194,"ddmmyyyy"),DATOS!AB:AB,0),0),"")</f>
        <v/>
      </c>
    </row>
    <row r="201" spans="1:28" x14ac:dyDescent="0.25">
      <c r="F201" t="str">
        <f>IFERROR(INDEX(DATOS!W:W,MATCH(A201&amp;$K$194&amp;TEXT($A$194,"yyyy")&amp;$F$194&amp;TEXT($A$194,"ddmmyyyy"),DATOS!AB:AB,0),0),"")</f>
        <v/>
      </c>
    </row>
    <row r="202" spans="1:28" x14ac:dyDescent="0.25">
      <c r="F202" t="str">
        <f>IFERROR(INDEX(DATOS!W:W,MATCH(A202&amp;$K$194&amp;TEXT($A$194,"yyyy")&amp;$F$194&amp;TEXT($A$194,"ddmmyyyy"),DATOS!AB:AB,0),0),"")</f>
        <v/>
      </c>
    </row>
    <row r="203" spans="1:28" x14ac:dyDescent="0.25">
      <c r="F203" t="str">
        <f>IFERROR(INDEX(DATOS!W:W,MATCH(A203&amp;$K$194&amp;TEXT($A$194,"yyyy")&amp;$F$194&amp;TEXT($A$194,"ddmmyyyy"),DATOS!AB:AB,0),0),"")</f>
        <v/>
      </c>
    </row>
    <row r="204" spans="1:28" x14ac:dyDescent="0.25">
      <c r="F204" t="str">
        <f>IFERROR(INDEX(DATOS!W:W,MATCH(A204&amp;$K$194&amp;TEXT($A$194,"yyyy")&amp;$F$194&amp;TEXT($A$194,"ddmmyyyy"),DATOS!AB:AB,0),0),"")</f>
        <v/>
      </c>
    </row>
    <row r="205" spans="1:28" x14ac:dyDescent="0.25">
      <c r="F205" t="str">
        <f>IFERROR(INDEX(DATOS!W:W,MATCH(A205&amp;$K$194&amp;TEXT($A$194,"yyyy")&amp;$F$194&amp;TEXT($A$194,"ddmmyyyy"),DATOS!AB:AB,0),0),"")</f>
        <v/>
      </c>
    </row>
    <row r="206" spans="1:28" x14ac:dyDescent="0.25">
      <c r="F206" t="str">
        <f>IFERROR(INDEX(DATOS!W:W,MATCH(A206&amp;$K$194&amp;TEXT($A$194,"yyyy")&amp;$F$194&amp;TEXT($A$194,"ddmmyyyy"),DATOS!AB:AB,0),0),"")</f>
        <v/>
      </c>
    </row>
    <row r="207" spans="1:28" x14ac:dyDescent="0.25">
      <c r="F207" t="str">
        <f>IFERROR(INDEX(DATOS!W:W,MATCH(A207&amp;$K$194&amp;TEXT($A$194,"yyyy")&amp;$F$194&amp;TEXT($A$194,"ddmmyyyy"),DATOS!AB:AB,0),0),"")</f>
        <v/>
      </c>
    </row>
    <row r="208" spans="1:28" x14ac:dyDescent="0.25">
      <c r="F208" t="str">
        <f>IFERROR(INDEX(DATOS!W:W,MATCH(A208&amp;$K$194&amp;TEXT($A$194,"yyyy")&amp;$F$194&amp;TEXT($A$194,"ddmmyyyy"),DATOS!AB:AB,0),0),"")</f>
        <v/>
      </c>
    </row>
    <row r="209" spans="6:6" x14ac:dyDescent="0.25">
      <c r="F209" t="str">
        <f>IFERROR(INDEX(DATOS!W:W,MATCH(A209&amp;$K$194&amp;TEXT($A$194,"yyyy")&amp;$F$194&amp;TEXT($A$194,"ddmmyyyy"),DATOS!AB:AB,0),0),"")</f>
        <v/>
      </c>
    </row>
    <row r="210" spans="6:6" x14ac:dyDescent="0.25">
      <c r="F210" t="str">
        <f>IFERROR(INDEX(DATOS!W:W,MATCH(A210&amp;$K$194&amp;TEXT($A$194,"yyyy")&amp;$F$194&amp;TEXT($A$194,"ddmmyyyy"),DATOS!AB:AB,0),0),"")</f>
        <v/>
      </c>
    </row>
    <row r="211" spans="6:6" x14ac:dyDescent="0.25">
      <c r="F211" t="str">
        <f>IFERROR(INDEX(DATOS!W:W,MATCH(A211&amp;$K$194&amp;TEXT($A$194,"yyyy")&amp;$F$194&amp;TEXT($A$194,"ddmmyyyy"),DATOS!AB:AB,0),0),"")</f>
        <v/>
      </c>
    </row>
    <row r="212" spans="6:6" x14ac:dyDescent="0.25">
      <c r="F212" t="str">
        <f>IFERROR(INDEX(DATOS!W:W,MATCH(A212&amp;$K$194&amp;TEXT($A$194,"yyyy")&amp;$F$194&amp;TEXT($A$194,"ddmmyyyy"),DATOS!AB:AB,0),0),"")</f>
        <v/>
      </c>
    </row>
    <row r="213" spans="6:6" x14ac:dyDescent="0.25">
      <c r="F213" t="str">
        <f>IFERROR(INDEX(DATOS!W:W,MATCH(A213&amp;$K$194&amp;TEXT($A$194,"yyyy")&amp;$F$194&amp;TEXT($A$194,"ddmmyyyy"),DATOS!AB:AB,0),0),"")</f>
        <v/>
      </c>
    </row>
    <row r="214" spans="6:6" x14ac:dyDescent="0.25">
      <c r="F214" t="str">
        <f>IFERROR(INDEX(DATOS!W:W,MATCH(A214&amp;$K$194&amp;TEXT($A$194,"yyyy")&amp;$F$194&amp;TEXT($A$194,"ddmmyyyy"),DATOS!AB:AB,0),0),"")</f>
        <v/>
      </c>
    </row>
    <row r="215" spans="6:6" x14ac:dyDescent="0.25">
      <c r="F215" t="str">
        <f>IFERROR(INDEX(DATOS!W:W,MATCH(A215&amp;$K$194&amp;TEXT($A$194,"yyyy")&amp;$F$194&amp;TEXT($A$194,"ddmmyyyy"),DATOS!AB:AB,0),0),"")</f>
        <v/>
      </c>
    </row>
    <row r="216" spans="6:6" x14ac:dyDescent="0.25">
      <c r="F216" t="str">
        <f>IFERROR(INDEX(DATOS!W:W,MATCH(A216&amp;$K$194&amp;TEXT($A$194,"yyyy")&amp;$F$194&amp;TEXT($A$194,"ddmmyyyy"),DATOS!AB:AB,0),0),"")</f>
        <v/>
      </c>
    </row>
    <row r="217" spans="6:6" x14ac:dyDescent="0.25">
      <c r="F217" t="str">
        <f>IFERROR(INDEX(DATOS!W:W,MATCH(A217&amp;$K$194&amp;TEXT($A$194,"yyyy")&amp;$F$194&amp;TEXT($A$194,"ddmmyyyy"),DATOS!AB:AB,0),0),"")</f>
        <v/>
      </c>
    </row>
    <row r="218" spans="6:6" x14ac:dyDescent="0.25">
      <c r="F218" t="str">
        <f>IFERROR(INDEX(DATOS!W:W,MATCH(A218&amp;$K$194&amp;TEXT($A$194,"yyyy")&amp;$F$194&amp;TEXT($A$194,"ddmmyyyy"),DATOS!AB:AB,0),0),"")</f>
        <v/>
      </c>
    </row>
    <row r="219" spans="6:6" x14ac:dyDescent="0.25">
      <c r="F219" t="str">
        <f>IFERROR(INDEX(DATOS!W:W,MATCH(A219&amp;$K$194&amp;TEXT($A$194,"yyyy")&amp;$F$194&amp;TEXT($A$194,"ddmmyyyy"),DATOS!AB:AB,0),0),"")</f>
        <v/>
      </c>
    </row>
    <row r="220" spans="6:6" x14ac:dyDescent="0.25">
      <c r="F220" t="str">
        <f>IFERROR(INDEX(DATOS!W:W,MATCH(A220&amp;$K$194&amp;TEXT($A$194,"yyyy")&amp;$F$194&amp;TEXT($A$194,"ddmmyyyy"),DATOS!AB:AB,0),0),"")</f>
        <v/>
      </c>
    </row>
    <row r="221" spans="6:6" x14ac:dyDescent="0.25">
      <c r="F221" t="str">
        <f>IFERROR(INDEX(DATOS!W:W,MATCH(A221&amp;$K$194&amp;TEXT($A$194,"yyyy")&amp;$F$194&amp;TEXT($A$194,"ddmmyyyy"),DATOS!AB:AB,0),0),"")</f>
        <v/>
      </c>
    </row>
    <row r="222" spans="6:6" x14ac:dyDescent="0.25">
      <c r="F222" t="str">
        <f>IFERROR(INDEX(DATOS!W:W,MATCH(A222&amp;$K$194&amp;TEXT($A$194,"yyyy")&amp;$F$194&amp;TEXT($A$194,"ddmmyyyy"),DATOS!AB:AB,0),0),"")</f>
        <v/>
      </c>
    </row>
    <row r="223" spans="6:6" x14ac:dyDescent="0.25">
      <c r="F223" t="str">
        <f>IFERROR(INDEX(DATOS!W:W,MATCH(A223&amp;$K$194&amp;TEXT($A$194,"yyyy")&amp;$F$194&amp;TEXT($A$194,"ddmmyyyy"),DATOS!AB:AB,0),0),"")</f>
        <v/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Reporte</vt:lpstr>
      <vt:lpstr>query</vt:lpstr>
      <vt:lpstr>Info</vt:lpstr>
      <vt:lpstr>SEGUNDAS ENTREGAS</vt:lpstr>
      <vt:lpstr>SEGUNDAS ENTREGAS HOJA2</vt:lpstr>
      <vt:lpstr>DATOS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alexg_000</dc:creator>
  <cp:lastModifiedBy>Manuel Peña</cp:lastModifiedBy>
  <cp:lastPrinted>2015-02-02T16:35:09Z</cp:lastPrinted>
  <dcterms:created xsi:type="dcterms:W3CDTF">2014-07-03T21:41:48Z</dcterms:created>
  <dcterms:modified xsi:type="dcterms:W3CDTF">2015-04-02T10:06:31Z</dcterms:modified>
</cp:coreProperties>
</file>