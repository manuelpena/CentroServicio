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0490" windowHeight="7455" firstSheet="2" activeTab="2"/>
  </bookViews>
  <sheets>
    <sheet name="Info" sheetId="1" state="hidden" r:id="rId1"/>
    <sheet name="query" sheetId="2" state="hidden" r:id="rId2"/>
    <sheet name="REPORTE" sheetId="4" r:id="rId3"/>
    <sheet name="DIVISIONES" sheetId="5" state="hidden" r:id="rId4"/>
  </sheets>
  <definedNames>
    <definedName name="DatosExternos_1" localSheetId="0">Info!$B$1:$H$3</definedName>
    <definedName name="ExternalData_1" localSheetId="0">Info!#REF!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B6" i="4"/>
  <c r="C6" i="4"/>
  <c r="A7" i="4"/>
  <c r="C41" i="5" l="1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B2" i="2"/>
  <c r="H6" i="4"/>
  <c r="G6" i="4"/>
  <c r="F6" i="4"/>
  <c r="E6" i="4"/>
  <c r="D6" i="4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3" i="1" l="1"/>
  <c r="B7" i="4" s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8" i="4" l="1"/>
  <c r="B8" i="4" s="1"/>
  <c r="C7" i="4"/>
  <c r="E7" i="4"/>
  <c r="F7" i="4"/>
  <c r="D7" i="4" l="1"/>
  <c r="G7" i="4"/>
  <c r="H7" i="4"/>
  <c r="C8" i="4"/>
  <c r="E8" i="4"/>
  <c r="D8" i="4"/>
  <c r="H8" i="4"/>
  <c r="F8" i="4"/>
  <c r="G8" i="4"/>
  <c r="A9" i="4"/>
  <c r="B9" i="4" s="1"/>
  <c r="A10" i="4" l="1"/>
  <c r="B10" i="4" s="1"/>
  <c r="G9" i="4"/>
  <c r="H9" i="4"/>
  <c r="E9" i="4"/>
  <c r="C9" i="4"/>
  <c r="F9" i="4"/>
  <c r="D9" i="4"/>
  <c r="E10" i="4" l="1"/>
  <c r="C10" i="4"/>
  <c r="G10" i="4"/>
  <c r="H10" i="4"/>
  <c r="D10" i="4"/>
  <c r="F10" i="4"/>
  <c r="A11" i="4"/>
  <c r="B11" i="4" s="1"/>
  <c r="A12" i="4" l="1"/>
  <c r="B12" i="4" s="1"/>
  <c r="G11" i="4"/>
  <c r="F11" i="4"/>
  <c r="C11" i="4"/>
  <c r="E11" i="4"/>
  <c r="H11" i="4"/>
  <c r="D11" i="4"/>
  <c r="G12" i="4" l="1"/>
  <c r="C12" i="4"/>
  <c r="E12" i="4"/>
  <c r="F12" i="4"/>
  <c r="A13" i="4"/>
  <c r="B13" i="4" s="1"/>
  <c r="H12" i="4"/>
  <c r="D12" i="4"/>
  <c r="A14" i="4" l="1"/>
  <c r="B14" i="4" s="1"/>
  <c r="H13" i="4"/>
  <c r="F13" i="4"/>
  <c r="G13" i="4"/>
  <c r="C13" i="4"/>
  <c r="D13" i="4"/>
  <c r="E13" i="4"/>
  <c r="F14" i="4" l="1"/>
  <c r="D14" i="4"/>
  <c r="C14" i="4"/>
  <c r="G14" i="4"/>
  <c r="H14" i="4"/>
  <c r="E14" i="4"/>
  <c r="A15" i="4"/>
  <c r="B15" i="4" s="1"/>
  <c r="A16" i="4" l="1"/>
  <c r="B16" i="4" s="1"/>
  <c r="C15" i="4"/>
  <c r="F15" i="4"/>
  <c r="H15" i="4"/>
  <c r="D15" i="4"/>
  <c r="G15" i="4"/>
  <c r="E15" i="4"/>
  <c r="C16" i="4" l="1"/>
  <c r="G16" i="4"/>
  <c r="H16" i="4"/>
  <c r="E16" i="4"/>
  <c r="D16" i="4"/>
  <c r="F16" i="4"/>
  <c r="A17" i="4"/>
  <c r="B17" i="4" s="1"/>
  <c r="A18" i="4" l="1"/>
  <c r="B18" i="4" s="1"/>
  <c r="F17" i="4"/>
  <c r="D17" i="4"/>
  <c r="G17" i="4"/>
  <c r="E17" i="4"/>
  <c r="C17" i="4"/>
  <c r="H17" i="4"/>
  <c r="C18" i="4" l="1"/>
  <c r="G18" i="4"/>
  <c r="F18" i="4"/>
  <c r="H18" i="4"/>
  <c r="E18" i="4"/>
  <c r="D18" i="4"/>
  <c r="A19" i="4"/>
  <c r="B19" i="4" s="1"/>
  <c r="A20" i="4" l="1"/>
  <c r="B20" i="4" s="1"/>
  <c r="H19" i="4"/>
  <c r="D19" i="4"/>
  <c r="G19" i="4"/>
  <c r="C19" i="4"/>
  <c r="E19" i="4"/>
  <c r="F19" i="4"/>
  <c r="A21" i="4" l="1"/>
  <c r="B21" i="4" s="1"/>
  <c r="E20" i="4"/>
  <c r="D20" i="4"/>
  <c r="C20" i="4"/>
  <c r="H20" i="4"/>
  <c r="F20" i="4"/>
  <c r="G20" i="4"/>
  <c r="A22" i="4" l="1"/>
  <c r="B22" i="4" s="1"/>
  <c r="H21" i="4"/>
  <c r="D21" i="4"/>
  <c r="C21" i="4"/>
  <c r="G21" i="4"/>
  <c r="F21" i="4"/>
  <c r="E21" i="4"/>
  <c r="H22" i="4" l="1"/>
  <c r="E22" i="4"/>
  <c r="D22" i="4"/>
  <c r="F22" i="4"/>
  <c r="C22" i="4"/>
  <c r="A23" i="4"/>
  <c r="B23" i="4" s="1"/>
  <c r="G22" i="4"/>
  <c r="G23" i="4" l="1"/>
  <c r="H23" i="4"/>
  <c r="C23" i="4"/>
  <c r="F23" i="4"/>
  <c r="D23" i="4"/>
  <c r="A24" i="4"/>
  <c r="B24" i="4" s="1"/>
  <c r="E23" i="4"/>
  <c r="E24" i="4" l="1"/>
  <c r="C24" i="4"/>
  <c r="D24" i="4"/>
  <c r="A25" i="4"/>
  <c r="B25" i="4" s="1"/>
  <c r="F24" i="4"/>
  <c r="G24" i="4"/>
  <c r="H24" i="4"/>
  <c r="D25" i="4" l="1"/>
  <c r="E25" i="4"/>
  <c r="G25" i="4"/>
  <c r="H25" i="4"/>
  <c r="C25" i="4"/>
  <c r="F25" i="4"/>
  <c r="A26" i="4"/>
  <c r="B26" i="4" s="1"/>
  <c r="H26" i="4" l="1"/>
  <c r="F26" i="4"/>
  <c r="D26" i="4"/>
  <c r="G26" i="4"/>
  <c r="C26" i="4"/>
  <c r="E26" i="4"/>
  <c r="A27" i="4"/>
  <c r="B27" i="4" s="1"/>
  <c r="C27" i="4" l="1"/>
  <c r="G27" i="4"/>
  <c r="D27" i="4"/>
  <c r="H27" i="4"/>
  <c r="E27" i="4"/>
  <c r="F27" i="4"/>
  <c r="A28" i="4"/>
  <c r="B28" i="4" s="1"/>
  <c r="G28" i="4" l="1"/>
  <c r="C28" i="4"/>
  <c r="E28" i="4"/>
  <c r="A29" i="4"/>
  <c r="B29" i="4" s="1"/>
  <c r="F28" i="4"/>
  <c r="D28" i="4"/>
  <c r="H28" i="4"/>
  <c r="H29" i="4" l="1"/>
  <c r="E29" i="4"/>
  <c r="F29" i="4"/>
  <c r="C29" i="4"/>
  <c r="G29" i="4"/>
  <c r="D29" i="4"/>
  <c r="A30" i="4"/>
  <c r="B30" i="4" s="1"/>
  <c r="G30" i="4" l="1"/>
  <c r="C30" i="4"/>
  <c r="E30" i="4"/>
  <c r="A31" i="4"/>
  <c r="B31" i="4" s="1"/>
  <c r="F30" i="4"/>
  <c r="D30" i="4"/>
  <c r="H30" i="4"/>
  <c r="F31" i="4" l="1"/>
  <c r="C31" i="4"/>
  <c r="D31" i="4"/>
  <c r="H31" i="4"/>
  <c r="E31" i="4"/>
  <c r="A32" i="4"/>
  <c r="B32" i="4" s="1"/>
  <c r="G31" i="4"/>
  <c r="G32" i="4" l="1"/>
  <c r="H32" i="4"/>
  <c r="C32" i="4"/>
  <c r="A33" i="4"/>
  <c r="B33" i="4" s="1"/>
  <c r="F32" i="4"/>
  <c r="E32" i="4"/>
  <c r="D32" i="4"/>
  <c r="H33" i="4" l="1"/>
  <c r="E33" i="4"/>
  <c r="F33" i="4"/>
  <c r="A34" i="4"/>
  <c r="B34" i="4" s="1"/>
  <c r="G33" i="4"/>
  <c r="C33" i="4"/>
  <c r="D33" i="4"/>
  <c r="G34" i="4" l="1"/>
  <c r="C34" i="4"/>
  <c r="E34" i="4"/>
  <c r="A35" i="4"/>
  <c r="B35" i="4" s="1"/>
  <c r="D34" i="4"/>
  <c r="F34" i="4"/>
  <c r="H34" i="4"/>
  <c r="H35" i="4" l="1"/>
  <c r="G35" i="4"/>
  <c r="F35" i="4"/>
  <c r="D35" i="4"/>
  <c r="E35" i="4"/>
  <c r="A36" i="4"/>
  <c r="B36" i="4" s="1"/>
  <c r="C35" i="4"/>
  <c r="G36" i="4" l="1"/>
  <c r="F36" i="4"/>
  <c r="E36" i="4"/>
  <c r="H36" i="4"/>
  <c r="C36" i="4"/>
  <c r="D36" i="4"/>
  <c r="A37" i="4"/>
  <c r="B37" i="4" s="1"/>
  <c r="H37" i="4" l="1"/>
  <c r="C37" i="4"/>
  <c r="A38" i="4"/>
  <c r="B38" i="4" s="1"/>
  <c r="F37" i="4"/>
  <c r="D37" i="4"/>
  <c r="E37" i="4"/>
  <c r="G37" i="4"/>
  <c r="G38" i="4" l="1"/>
  <c r="F38" i="4"/>
  <c r="C38" i="4"/>
  <c r="H38" i="4"/>
  <c r="A39" i="4"/>
  <c r="B39" i="4" s="1"/>
  <c r="E38" i="4"/>
  <c r="D38" i="4"/>
  <c r="F39" i="4" l="1"/>
  <c r="H39" i="4"/>
  <c r="D39" i="4"/>
  <c r="E39" i="4"/>
  <c r="G39" i="4"/>
  <c r="A40" i="4"/>
  <c r="B40" i="4" s="1"/>
  <c r="C39" i="4"/>
  <c r="G40" i="4" l="1"/>
  <c r="H40" i="4"/>
  <c r="D40" i="4"/>
  <c r="F40" i="4"/>
  <c r="E40" i="4"/>
  <c r="A41" i="4"/>
  <c r="B41" i="4" s="1"/>
  <c r="C40" i="4"/>
  <c r="H41" i="4" l="1"/>
  <c r="A42" i="4"/>
  <c r="B42" i="4" s="1"/>
  <c r="E41" i="4"/>
  <c r="C41" i="4"/>
  <c r="G41" i="4"/>
  <c r="F41" i="4"/>
  <c r="D41" i="4"/>
  <c r="G42" i="4" l="1"/>
  <c r="A43" i="4"/>
  <c r="B43" i="4" s="1"/>
  <c r="E42" i="4"/>
  <c r="C42" i="4"/>
  <c r="F42" i="4"/>
  <c r="D42" i="4"/>
  <c r="H42" i="4"/>
  <c r="H43" i="4" l="1"/>
  <c r="D43" i="4"/>
  <c r="A44" i="4"/>
  <c r="B44" i="4" s="1"/>
  <c r="C43" i="4"/>
  <c r="F43" i="4"/>
  <c r="E43" i="4"/>
  <c r="G43" i="4"/>
  <c r="G44" i="4" l="1"/>
  <c r="D44" i="4"/>
  <c r="E44" i="4"/>
  <c r="C44" i="4"/>
  <c r="A45" i="4"/>
  <c r="B45" i="4" s="1"/>
  <c r="F44" i="4"/>
  <c r="H44" i="4"/>
  <c r="D45" i="4" l="1"/>
  <c r="F45" i="4"/>
  <c r="E45" i="4"/>
  <c r="C45" i="4"/>
  <c r="G45" i="4"/>
  <c r="A46" i="4"/>
  <c r="B46" i="4" s="1"/>
  <c r="H45" i="4"/>
  <c r="G46" i="4" l="1"/>
  <c r="A47" i="4"/>
  <c r="B47" i="4" s="1"/>
  <c r="H46" i="4"/>
  <c r="F46" i="4"/>
  <c r="E46" i="4"/>
  <c r="D46" i="4"/>
  <c r="C46" i="4"/>
  <c r="D47" i="4" l="1"/>
  <c r="F47" i="4"/>
  <c r="C47" i="4"/>
  <c r="H47" i="4"/>
  <c r="E47" i="4"/>
  <c r="G47" i="4"/>
  <c r="A48" i="4"/>
  <c r="B48" i="4" s="1"/>
  <c r="D48" i="4" l="1"/>
  <c r="E48" i="4"/>
  <c r="F48" i="4"/>
  <c r="H48" i="4"/>
  <c r="C48" i="4"/>
  <c r="A49" i="4"/>
  <c r="B49" i="4" s="1"/>
  <c r="G48" i="4"/>
  <c r="H49" i="4" l="1"/>
  <c r="E49" i="4"/>
  <c r="C49" i="4"/>
  <c r="A50" i="4"/>
  <c r="B50" i="4" s="1"/>
  <c r="F49" i="4"/>
  <c r="G49" i="4"/>
  <c r="D49" i="4"/>
  <c r="H50" i="4" l="1"/>
  <c r="A51" i="4"/>
  <c r="B51" i="4" s="1"/>
  <c r="G50" i="4"/>
  <c r="F50" i="4"/>
  <c r="D50" i="4"/>
  <c r="C50" i="4"/>
  <c r="E50" i="4"/>
  <c r="H51" i="4" l="1"/>
  <c r="C51" i="4"/>
  <c r="A52" i="4"/>
  <c r="B52" i="4" s="1"/>
  <c r="E51" i="4"/>
  <c r="F51" i="4"/>
  <c r="G51" i="4"/>
  <c r="D51" i="4"/>
  <c r="G52" i="4" l="1"/>
  <c r="A53" i="4"/>
  <c r="B53" i="4" s="1"/>
  <c r="E52" i="4"/>
  <c r="D52" i="4"/>
  <c r="F52" i="4"/>
  <c r="C52" i="4"/>
  <c r="H52" i="4"/>
  <c r="D53" i="4" l="1"/>
  <c r="C53" i="4"/>
  <c r="A54" i="4"/>
  <c r="B54" i="4" s="1"/>
  <c r="E53" i="4"/>
  <c r="H53" i="4"/>
  <c r="G53" i="4"/>
  <c r="F53" i="4"/>
  <c r="G54" i="4" l="1"/>
  <c r="A55" i="4"/>
  <c r="B55" i="4" s="1"/>
  <c r="E54" i="4"/>
  <c r="H54" i="4"/>
  <c r="D54" i="4"/>
  <c r="C54" i="4"/>
  <c r="F54" i="4"/>
  <c r="G55" i="4" l="1"/>
  <c r="E55" i="4"/>
  <c r="C55" i="4"/>
  <c r="A56" i="4"/>
  <c r="B56" i="4" s="1"/>
  <c r="H55" i="4"/>
  <c r="D55" i="4"/>
  <c r="F55" i="4"/>
  <c r="G56" i="4" l="1"/>
  <c r="A57" i="4"/>
  <c r="B57" i="4" s="1"/>
  <c r="C56" i="4"/>
  <c r="H56" i="4"/>
  <c r="F56" i="4"/>
  <c r="D56" i="4"/>
  <c r="E56" i="4"/>
  <c r="H57" i="4" l="1"/>
  <c r="D57" i="4"/>
  <c r="G57" i="4"/>
  <c r="E57" i="4"/>
  <c r="F57" i="4"/>
  <c r="A58" i="4"/>
  <c r="B58" i="4" s="1"/>
  <c r="C57" i="4"/>
  <c r="G58" i="4" l="1"/>
  <c r="E58" i="4"/>
  <c r="C58" i="4"/>
  <c r="H58" i="4"/>
  <c r="F58" i="4"/>
  <c r="D58" i="4"/>
  <c r="A59" i="4"/>
  <c r="B59" i="4" s="1"/>
  <c r="F59" i="4" l="1"/>
  <c r="H59" i="4"/>
  <c r="D59" i="4"/>
  <c r="E59" i="4"/>
  <c r="C59" i="4"/>
  <c r="G59" i="4"/>
  <c r="K6" i="4" l="1"/>
  <c r="K7" i="4"/>
  <c r="K8" i="4"/>
</calcChain>
</file>

<file path=xl/connections.xml><?xml version="1.0" encoding="utf-8"?>
<connections xmlns="http://schemas.openxmlformats.org/spreadsheetml/2006/main">
  <connection id="1" name="Conexión" type="1" refreshedVersion="5" background="1" saveData="1">
    <dbPr connection="DSN=QueryExcel;UID=root;PORT=3306;PASSWORD=root;" command="SELECT _x000a_  a.`zona`,_x000a_  a.`sector`,_x000a_  a.`codigo`,_x000a_  a.`nombres`,_x000a_  a.`telefono_1`,_x000a_  b.`razon` ,_x000a_c.division_x000a_FROM_x000a_  consejeras a _x000a_  INNER JOIN pedidos b _x000a_    ON a.`codigo` = b.codigo _x000a_INNER JOIN zonas c on c.zona = a.zona_x000a_    WHERE b.`anio` = 2015 AND b.`campania` = 2 AND b.`los` = 1  ORDER BY c.division"/>
  </connection>
</connections>
</file>

<file path=xl/sharedStrings.xml><?xml version="1.0" encoding="utf-8"?>
<sst xmlns="http://schemas.openxmlformats.org/spreadsheetml/2006/main" count="68" uniqueCount="26">
  <si>
    <t>query</t>
  </si>
  <si>
    <t>ZONA</t>
  </si>
  <si>
    <t>#</t>
  </si>
  <si>
    <t>SECTOR</t>
  </si>
  <si>
    <t>CODIGO</t>
  </si>
  <si>
    <t>TELEFONO</t>
  </si>
  <si>
    <t>DIVISION</t>
  </si>
  <si>
    <t>OLIVO</t>
  </si>
  <si>
    <t>MAQUILISHUAT</t>
  </si>
  <si>
    <t>ARAUCARIA</t>
  </si>
  <si>
    <t>CAMPAÑA</t>
  </si>
  <si>
    <t>CENTRO DE SERVICIO -  AVON</t>
  </si>
  <si>
    <t>S</t>
  </si>
  <si>
    <t>FECHA</t>
  </si>
  <si>
    <t>N°</t>
  </si>
  <si>
    <t>NOMBRE</t>
  </si>
  <si>
    <t>RAZON</t>
  </si>
  <si>
    <t>zona</t>
  </si>
  <si>
    <t>sector</t>
  </si>
  <si>
    <t>codigo</t>
  </si>
  <si>
    <t>nombres</t>
  </si>
  <si>
    <t>telefono_1</t>
  </si>
  <si>
    <t>razon</t>
  </si>
  <si>
    <t>2</t>
  </si>
  <si>
    <t>division</t>
  </si>
  <si>
    <t>REPORTE DE PRIMEROS PEDIDOS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</si>
</sst>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8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theme="2" tint="-0.249977111117893"/>
      </left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8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7" fillId="0" borderId="0" xfId="2" applyFont="1" applyAlignment="1" applyProtection="1">
      <alignment horizontal="center" vertical="center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0" fontId="7" fillId="0" borderId="0" xfId="2" applyFont="1" applyBorder="1" applyAlignment="1" applyProtection="1">
      <alignment horizontal="center" vertical="center"/>
      <protection locked="0"/>
    </xf>
    <xf numFmtId="0" fontId="5" fillId="0" borderId="0" xfId="2" applyFont="1" applyAlignment="1" applyProtection="1">
      <alignment horizontal="center" vertical="center"/>
      <protection locked="0"/>
    </xf>
    <xf numFmtId="44" fontId="5" fillId="0" borderId="0" xfId="1" applyFont="1" applyAlignment="1" applyProtection="1">
      <alignment horizontal="center" vertical="center"/>
      <protection locked="0"/>
    </xf>
    <xf numFmtId="44" fontId="5" fillId="0" borderId="0" xfId="2" applyNumberFormat="1" applyFont="1" applyAlignment="1" applyProtection="1">
      <alignment horizontal="center" vertical="center"/>
      <protection locked="0"/>
    </xf>
    <xf numFmtId="0" fontId="5" fillId="0" borderId="4" xfId="2" applyFont="1" applyBorder="1" applyAlignment="1" applyProtection="1">
      <alignment horizontal="center" vertical="center"/>
      <protection locked="0"/>
    </xf>
    <xf numFmtId="14" fontId="5" fillId="0" borderId="4" xfId="2" applyNumberFormat="1" applyFont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4" xfId="0" applyFont="1" applyFill="1" applyBorder="1"/>
    <xf numFmtId="0" fontId="7" fillId="0" borderId="0" xfId="2" applyFont="1" applyBorder="1" applyAlignment="1" applyProtection="1">
      <alignment vertical="center"/>
      <protection locked="0"/>
    </xf>
    <xf numFmtId="49" fontId="7" fillId="0" borderId="0" xfId="2" applyNumberFormat="1" applyFont="1" applyBorder="1" applyAlignment="1" applyProtection="1">
      <alignment vertical="center"/>
      <protection locked="0"/>
    </xf>
    <xf numFmtId="49" fontId="7" fillId="0" borderId="5" xfId="2" applyNumberFormat="1" applyFont="1" applyBorder="1" applyAlignment="1" applyProtection="1">
      <alignment horizontal="center" vertical="center"/>
      <protection locked="0"/>
    </xf>
    <xf numFmtId="0" fontId="7" fillId="0" borderId="0" xfId="2" applyFont="1" applyBorder="1" applyAlignment="1" applyProtection="1">
      <alignment horizontal="center" vertical="center"/>
      <protection locked="0"/>
    </xf>
    <xf numFmtId="0" fontId="7" fillId="0" borderId="0" xfId="2" applyFont="1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center" vertical="center"/>
    </xf>
    <xf numFmtId="14" fontId="7" fillId="0" borderId="1" xfId="2" applyNumberFormat="1" applyFont="1" applyBorder="1" applyAlignment="1" applyProtection="1">
      <alignment horizontal="center" vertical="center"/>
      <protection locked="0"/>
    </xf>
    <xf numFmtId="14" fontId="7" fillId="0" borderId="2" xfId="2" applyNumberFormat="1" applyFont="1" applyBorder="1" applyAlignment="1" applyProtection="1">
      <alignment horizontal="center" vertical="center"/>
      <protection locked="0"/>
    </xf>
    <xf numFmtId="14" fontId="7" fillId="0" borderId="3" xfId="2" applyNumberFormat="1" applyFont="1" applyBorder="1" applyAlignment="1" applyProtection="1">
      <alignment horizontal="center" vertical="center"/>
      <protection locked="0"/>
    </xf>
  </cellXfs>
  <cellStyles count="3">
    <cellStyle name="Moneda" xfId="1" builtinId="4"/>
    <cellStyle name="Normal" xfId="0" builtinId="0"/>
    <cellStyle name="Normal 2" xfId="2"/>
  </cellStyles>
  <dxfs count="6">
    <dxf>
      <font>
        <b/>
        <i val="0"/>
        <color theme="0"/>
      </font>
      <fill>
        <patternFill>
          <bgColor rgb="FF41414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14408723467921E-2"/>
          <c:y val="6.0606060606060608E-2"/>
          <c:w val="0.87295497234581942"/>
          <c:h val="0.68554608359905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REPORTE!$K$5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invertIfNegative val="0"/>
            <c:bubble3D val="0"/>
            <c:spPr>
              <a:solidFill>
                <a:srgbClr val="40404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SV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REPORTE!$J$6:$J$8</c:f>
              <c:strCache>
                <c:ptCount val="3"/>
                <c:pt idx="0">
                  <c:v>ARAUCARIA</c:v>
                </c:pt>
                <c:pt idx="1">
                  <c:v>OLIVO</c:v>
                </c:pt>
                <c:pt idx="2">
                  <c:v>MAQUILISHUAT</c:v>
                </c:pt>
              </c:strCache>
            </c:strRef>
          </c:cat>
          <c:val>
            <c:numRef>
              <c:f>REPORTE!$K$6:$K$8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39611200"/>
        <c:axId val="339610640"/>
      </c:barChart>
      <c:catAx>
        <c:axId val="339611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339610640"/>
        <c:crosses val="autoZero"/>
        <c:auto val="1"/>
        <c:lblAlgn val="ctr"/>
        <c:lblOffset val="100"/>
        <c:noMultiLvlLbl val="0"/>
      </c:catAx>
      <c:valAx>
        <c:axId val="33961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33961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8</xdr:row>
      <xdr:rowOff>190500</xdr:rowOff>
    </xdr:from>
    <xdr:to>
      <xdr:col>14</xdr:col>
      <xdr:colOff>295275</xdr:colOff>
      <xdr:row>25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19050</xdr:colOff>
      <xdr:row>0</xdr:row>
      <xdr:rowOff>19050</xdr:rowOff>
    </xdr:from>
    <xdr:to>
      <xdr:col>11</xdr:col>
      <xdr:colOff>464820</xdr:colOff>
      <xdr:row>1</xdr:row>
      <xdr:rowOff>85725</xdr:rowOff>
    </xdr:to>
    <xdr:pic macro="[0]!Sheet1.SQLQuer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010775" y="19050"/>
          <a:ext cx="445770" cy="371475"/>
        </a:xfrm>
        <a:prstGeom prst="rect">
          <a:avLst/>
        </a:prstGeom>
      </xdr:spPr>
    </xdr:pic>
    <xdr:clientData/>
  </xdr:twoCellAnchor>
  <xdr:twoCellAnchor>
    <xdr:from>
      <xdr:col>11</xdr:col>
      <xdr:colOff>476250</xdr:colOff>
      <xdr:row>5</xdr:row>
      <xdr:rowOff>85725</xdr:rowOff>
    </xdr:from>
    <xdr:to>
      <xdr:col>13</xdr:col>
      <xdr:colOff>42333</xdr:colOff>
      <xdr:row>8</xdr:row>
      <xdr:rowOff>0</xdr:rowOff>
    </xdr:to>
    <xdr:sp macro="[0]!Módulo1.GuardarHoja" textlink="">
      <xdr:nvSpPr>
        <xdr:cNvPr id="4" name="Rectangle 1"/>
        <xdr:cNvSpPr/>
      </xdr:nvSpPr>
      <xdr:spPr>
        <a:xfrm>
          <a:off x="10467975" y="1476375"/>
          <a:ext cx="1090083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/>
            <a:t>EXPORTAR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zona"/>
      <queryTableField id="2" name="sector"/>
      <queryTableField id="3" name="codigo"/>
      <queryTableField id="4" name="nombres"/>
      <queryTableField id="5" name="telefono_1"/>
      <queryTableField id="6" name="razon"/>
      <queryTableField id="7" name="division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0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.7109375" customWidth="1"/>
    <col min="2" max="2" width="5.140625" customWidth="1"/>
    <col min="3" max="3" width="6.42578125" customWidth="1"/>
    <col min="4" max="4" width="6.85546875" customWidth="1"/>
    <col min="5" max="5" width="8.85546875" customWidth="1"/>
    <col min="6" max="6" width="10.7109375" customWidth="1"/>
    <col min="7" max="7" width="5.85546875" customWidth="1"/>
    <col min="8" max="8" width="8" customWidth="1"/>
  </cols>
  <sheetData>
    <row r="1" spans="1:8" x14ac:dyDescent="0.25">
      <c r="A1" s="1" t="s">
        <v>2</v>
      </c>
      <c r="B1" s="1" t="s">
        <v>17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24</v>
      </c>
    </row>
    <row r="2" spans="1:8" x14ac:dyDescent="0.25">
      <c r="A2">
        <v>1</v>
      </c>
    </row>
    <row r="3" spans="1:8" x14ac:dyDescent="0.25">
      <c r="A3" t="str">
        <f>IF(B3&gt;0,A2+1,"")</f>
        <v/>
      </c>
    </row>
    <row r="4" spans="1:8" x14ac:dyDescent="0.25">
      <c r="A4" t="str">
        <f t="shared" ref="A4:A67" si="0">IF(B4&gt;0,A3+1,"")</f>
        <v/>
      </c>
    </row>
    <row r="5" spans="1:8" x14ac:dyDescent="0.25">
      <c r="A5" t="str">
        <f t="shared" si="0"/>
        <v/>
      </c>
    </row>
    <row r="6" spans="1:8" x14ac:dyDescent="0.25">
      <c r="A6" t="str">
        <f t="shared" si="0"/>
        <v/>
      </c>
    </row>
    <row r="7" spans="1:8" x14ac:dyDescent="0.25">
      <c r="A7" t="str">
        <f t="shared" si="0"/>
        <v/>
      </c>
    </row>
    <row r="8" spans="1:8" x14ac:dyDescent="0.25">
      <c r="A8" t="str">
        <f t="shared" si="0"/>
        <v/>
      </c>
    </row>
    <row r="9" spans="1:8" x14ac:dyDescent="0.25">
      <c r="A9" t="str">
        <f t="shared" si="0"/>
        <v/>
      </c>
    </row>
    <row r="10" spans="1:8" x14ac:dyDescent="0.25">
      <c r="A10" t="str">
        <f t="shared" si="0"/>
        <v/>
      </c>
    </row>
    <row r="11" spans="1:8" x14ac:dyDescent="0.25">
      <c r="A11" t="str">
        <f t="shared" si="0"/>
        <v/>
      </c>
    </row>
    <row r="12" spans="1:8" x14ac:dyDescent="0.25">
      <c r="A12" t="str">
        <f t="shared" si="0"/>
        <v/>
      </c>
    </row>
    <row r="13" spans="1:8" x14ac:dyDescent="0.25">
      <c r="A13" t="str">
        <f t="shared" si="0"/>
        <v/>
      </c>
    </row>
    <row r="14" spans="1:8" x14ac:dyDescent="0.25">
      <c r="A14" t="str">
        <f t="shared" si="0"/>
        <v/>
      </c>
    </row>
    <row r="15" spans="1:8" x14ac:dyDescent="0.25">
      <c r="A15" t="str">
        <f t="shared" si="0"/>
        <v/>
      </c>
    </row>
    <row r="16" spans="1:8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ref="A68:A100" si="1">IF(B68&gt;0,A67+1,"")</f>
        <v/>
      </c>
    </row>
    <row r="69" spans="1:1" x14ac:dyDescent="0.25">
      <c r="A69" t="str">
        <f t="shared" si="1"/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baseColWidth="10" defaultColWidth="9.140625" defaultRowHeight="15" x14ac:dyDescent="0.25"/>
  <cols>
    <col min="2" max="2" width="130.7109375" customWidth="1"/>
  </cols>
  <sheetData>
    <row r="1" spans="1:2" ht="180" x14ac:dyDescent="0.25">
      <c r="A1" s="3" t="s">
        <v>0</v>
      </c>
      <c r="B1" s="2" t="str">
        <f>CONCATENATE("SELECT 
  a.`zona`,
  a.`sector`,
  a.`codigo`,
  a.`nombres`,
  a.`telefono_1`,
  b.`razon` ,
c.division
FROM
  consejeras a 
  INNER JOIN pedidos b 
    ON a.`codigo` = b.codigo 
INNER JOIN zonas c on c.zona = a.zona
    WHERE b.`anio` = ",YEAR(REPORTE!A3)," AND b.`campania` = ",REPORTE!F3," AND b.`los` = 1  ORDER BY c.division")</f>
        <v>SELECT 
  a.`zona`,
  a.`sector`,
  a.`codigo`,
  a.`nombres`,
  a.`telefono_1`,
  b.`razon` ,
c.division
FROM
  consejeras a 
  INNER JOIN pedidos b 
    ON a.`codigo` = b.codigo 
INNER JOIN zonas c on c.zona = a.zona
    WHERE b.`anio` = 2015 AND b.`campania` = 2 AND b.`los` = 1  ORDER BY c.division</v>
      </c>
    </row>
    <row r="2" spans="1:2" x14ac:dyDescent="0.25">
      <c r="B2" s="4">
        <f>LEN(B1)</f>
        <v>302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59"/>
  <sheetViews>
    <sheetView showGridLines="0" tabSelected="1" zoomScaleNormal="100" workbookViewId="0">
      <selection activeCell="N30" sqref="N30"/>
    </sheetView>
  </sheetViews>
  <sheetFormatPr baseColWidth="10" defaultColWidth="11.42578125" defaultRowHeight="16.5" x14ac:dyDescent="0.3"/>
  <cols>
    <col min="1" max="1" width="3.85546875" style="6" customWidth="1"/>
    <col min="2" max="2" width="15.85546875" style="6" customWidth="1"/>
    <col min="3" max="3" width="6.85546875" style="6" bestFit="1" customWidth="1"/>
    <col min="4" max="4" width="8.42578125" style="6" bestFit="1" customWidth="1"/>
    <col min="5" max="5" width="9" style="6" bestFit="1" customWidth="1"/>
    <col min="6" max="6" width="41.42578125" style="6" bestFit="1" customWidth="1"/>
    <col min="7" max="7" width="10.7109375" style="6" bestFit="1" customWidth="1"/>
    <col min="8" max="8" width="24.7109375" style="6" customWidth="1"/>
    <col min="9" max="9" width="3" style="5" customWidth="1"/>
    <col min="10" max="10" width="15.5703125" style="5" bestFit="1" customWidth="1"/>
    <col min="11" max="11" width="10.42578125" style="5" bestFit="1" customWidth="1"/>
    <col min="12" max="16384" width="11.42578125" style="5"/>
  </cols>
  <sheetData>
    <row r="1" spans="1:14" ht="24" x14ac:dyDescent="0.3">
      <c r="A1" s="26" t="s">
        <v>25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</row>
    <row r="2" spans="1:14" ht="22.5" customHeight="1" thickBot="1" x14ac:dyDescent="0.35">
      <c r="A2" s="26" t="s">
        <v>11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</row>
    <row r="3" spans="1:14" ht="17.25" thickBot="1" x14ac:dyDescent="0.35">
      <c r="A3" s="27">
        <v>42064</v>
      </c>
      <c r="B3" s="28"/>
      <c r="C3" s="29"/>
      <c r="D3" s="10"/>
      <c r="E3" s="10"/>
      <c r="F3" s="23" t="s">
        <v>23</v>
      </c>
      <c r="G3" s="11"/>
      <c r="H3" s="11" t="s">
        <v>12</v>
      </c>
      <c r="I3" s="10"/>
      <c r="L3" s="22"/>
      <c r="M3" s="12"/>
      <c r="N3" s="12"/>
    </row>
    <row r="4" spans="1:14" ht="12" customHeight="1" x14ac:dyDescent="0.3">
      <c r="A4" s="25" t="s">
        <v>13</v>
      </c>
      <c r="B4" s="25"/>
      <c r="C4" s="25"/>
      <c r="D4" s="10"/>
      <c r="E4" s="10"/>
      <c r="F4" s="24" t="s">
        <v>10</v>
      </c>
      <c r="G4" s="21"/>
      <c r="H4" s="10"/>
      <c r="I4" s="10"/>
      <c r="J4" s="12"/>
      <c r="L4" s="21"/>
      <c r="M4" s="12"/>
      <c r="N4" s="10"/>
    </row>
    <row r="5" spans="1:14" s="7" customFormat="1" ht="33.75" customHeight="1" x14ac:dyDescent="0.25">
      <c r="A5" s="16" t="s">
        <v>14</v>
      </c>
      <c r="B5" s="17" t="s">
        <v>6</v>
      </c>
      <c r="C5" s="16" t="s">
        <v>1</v>
      </c>
      <c r="D5" s="16" t="s">
        <v>3</v>
      </c>
      <c r="E5" s="16" t="s">
        <v>4</v>
      </c>
      <c r="F5" s="16" t="s">
        <v>15</v>
      </c>
      <c r="G5" s="16" t="s">
        <v>5</v>
      </c>
      <c r="H5" s="16" t="s">
        <v>16</v>
      </c>
      <c r="I5" s="13"/>
      <c r="J5" s="14"/>
      <c r="K5" s="15"/>
      <c r="L5" s="10"/>
      <c r="M5" s="10"/>
      <c r="N5" s="10"/>
    </row>
    <row r="6" spans="1:14" s="7" customFormat="1" ht="17.25" customHeight="1" x14ac:dyDescent="0.25">
      <c r="A6" s="18">
        <v>1</v>
      </c>
      <c r="B6" s="18">
        <f>IF(A6&lt;&gt;"",IFERROR(VLOOKUP(A6,Info!A:I,8,0),""),"")</f>
        <v>0</v>
      </c>
      <c r="C6" s="19">
        <f>IF(A6&lt;&gt;"",IFERROR(VLOOKUP(A6,Info!A:H,2,0),""),"")</f>
        <v>0</v>
      </c>
      <c r="D6" s="19">
        <f>IF(A6&lt;&gt;"",IFERROR(VLOOKUP(A6,Info!A:H,3,0),""),"")</f>
        <v>0</v>
      </c>
      <c r="E6" s="19">
        <f>IF(A6&lt;&gt;"",IFERROR(VLOOKUP(A6,Info!A:H,4,0),""),"")</f>
        <v>0</v>
      </c>
      <c r="F6" s="19">
        <f>IF(A6&lt;&gt;"",IFERROR(VLOOKUP(A6,Info!A:H,5,0),""),"")</f>
        <v>0</v>
      </c>
      <c r="G6" s="19">
        <f>IF(A6&lt;&gt;"",IFERROR(VLOOKUP(A6,Info!A:H,6,0),""),"")</f>
        <v>0</v>
      </c>
      <c r="H6" s="19">
        <f>IF(A6&lt;&gt;"",IFERROR(VLOOKUP(A6,Info!A:H,7,0),""),"")</f>
        <v>0</v>
      </c>
      <c r="I6" s="8"/>
      <c r="J6" s="20" t="s">
        <v>9</v>
      </c>
      <c r="K6" s="19">
        <f>+COUNTIF($B$5:$B$59,J6)</f>
        <v>0</v>
      </c>
    </row>
    <row r="7" spans="1:14" s="7" customFormat="1" ht="17.25" customHeight="1" x14ac:dyDescent="0.25">
      <c r="A7" s="18" t="str">
        <f>IF(A6&lt;COUNT(Info!B:B),A6+1,"")</f>
        <v/>
      </c>
      <c r="B7" s="18" t="str">
        <f>IF(A7&lt;&gt;"",IFERROR(VLOOKUP(A7,Info!A:I,8,0),""),"")</f>
        <v/>
      </c>
      <c r="C7" s="19" t="str">
        <f>IF(A7&lt;&gt;"",IFERROR(VLOOKUP(A7,Info!A:H,2,0),""),"")</f>
        <v/>
      </c>
      <c r="D7" s="19" t="str">
        <f>IF(A7&lt;&gt;"",IFERROR(VLOOKUP(A7,Info!A:H,3,0),""),"")</f>
        <v/>
      </c>
      <c r="E7" s="19" t="str">
        <f>IF(A7&lt;&gt;"",IFERROR(VLOOKUP(A7,Info!A:H,4,0),""),"")</f>
        <v/>
      </c>
      <c r="F7" s="19" t="str">
        <f>IF(A7&lt;&gt;"",IFERROR(VLOOKUP(A7,Info!A:H,5,0),""),"")</f>
        <v/>
      </c>
      <c r="G7" s="19" t="str">
        <f>IF(A7&lt;&gt;"",IFERROR(VLOOKUP(A7,Info!A:H,6,0),""),"")</f>
        <v/>
      </c>
      <c r="H7" s="19" t="str">
        <f>IF(A7&lt;&gt;"",IFERROR(VLOOKUP(A7,Info!A:H,7,0),""),"")</f>
        <v/>
      </c>
      <c r="I7" s="8"/>
      <c r="J7" s="20" t="s">
        <v>7</v>
      </c>
      <c r="K7" s="19">
        <f>+COUNTIF($B$5:$B$59,J7)</f>
        <v>0</v>
      </c>
    </row>
    <row r="8" spans="1:14" s="7" customFormat="1" ht="17.25" customHeight="1" x14ac:dyDescent="0.25">
      <c r="A8" s="18" t="str">
        <f>IF(A7&lt;COUNT(Info!B:B),A7+1,"")</f>
        <v/>
      </c>
      <c r="B8" s="18" t="str">
        <f>IF(A8&lt;&gt;"",IFERROR(VLOOKUP(A8,Info!A:I,8,0),""),"")</f>
        <v/>
      </c>
      <c r="C8" s="19" t="str">
        <f>IF(A8&lt;&gt;"",IFERROR(VLOOKUP(A8,Info!A:H,2,0),""),"")</f>
        <v/>
      </c>
      <c r="D8" s="19" t="str">
        <f>IF(A8&lt;&gt;"",IFERROR(VLOOKUP(A8,Info!A:H,3,0),""),"")</f>
        <v/>
      </c>
      <c r="E8" s="19" t="str">
        <f>IF(A8&lt;&gt;"",IFERROR(VLOOKUP(A8,Info!A:H,4,0),""),"")</f>
        <v/>
      </c>
      <c r="F8" s="19" t="str">
        <f>IF(A8&lt;&gt;"",IFERROR(VLOOKUP(A8,Info!A:H,5,0),""),"")</f>
        <v/>
      </c>
      <c r="G8" s="19" t="str">
        <f>IF(A8&lt;&gt;"",IFERROR(VLOOKUP(A8,Info!A:H,6,0),""),"")</f>
        <v/>
      </c>
      <c r="H8" s="19" t="str">
        <f>IF(A8&lt;&gt;"",IFERROR(VLOOKUP(A8,Info!A:H,7,0),""),"")</f>
        <v/>
      </c>
      <c r="I8" s="8"/>
      <c r="J8" s="20" t="s">
        <v>8</v>
      </c>
      <c r="K8" s="19">
        <f>+COUNTIF($B$5:$B$59,J8)</f>
        <v>0</v>
      </c>
    </row>
    <row r="9" spans="1:14" s="7" customFormat="1" ht="17.25" customHeight="1" x14ac:dyDescent="0.25">
      <c r="A9" s="18" t="str">
        <f>IF(A8&lt;COUNT(Info!B:B),A8+1,"")</f>
        <v/>
      </c>
      <c r="B9" s="18" t="str">
        <f>IF(A9&lt;&gt;"",IFERROR(VLOOKUP(A9,Info!A:I,8,0),""),"")</f>
        <v/>
      </c>
      <c r="C9" s="19" t="str">
        <f>IF(A9&lt;&gt;"",IFERROR(VLOOKUP(A9,Info!A:H,2,0),""),"")</f>
        <v/>
      </c>
      <c r="D9" s="19" t="str">
        <f>IF(A9&lt;&gt;"",IFERROR(VLOOKUP(A9,Info!A:H,3,0),""),"")</f>
        <v/>
      </c>
      <c r="E9" s="19" t="str">
        <f>IF(A9&lt;&gt;"",IFERROR(VLOOKUP(A9,Info!A:H,4,0),""),"")</f>
        <v/>
      </c>
      <c r="F9" s="19" t="str">
        <f>IF(A9&lt;&gt;"",IFERROR(VLOOKUP(A9,Info!A:H,5,0),""),"")</f>
        <v/>
      </c>
      <c r="G9" s="19" t="str">
        <f>IF(A9&lt;&gt;"",IFERROR(VLOOKUP(A9,Info!A:H,6,0),""),"")</f>
        <v/>
      </c>
      <c r="H9" s="19" t="str">
        <f>IF(A9&lt;&gt;"",IFERROR(VLOOKUP(A9,Info!A:H,7,0),""),"")</f>
        <v/>
      </c>
      <c r="I9" s="8"/>
    </row>
    <row r="10" spans="1:14" s="7" customFormat="1" ht="17.25" customHeight="1" x14ac:dyDescent="0.25">
      <c r="A10" s="18" t="str">
        <f>IF(A9&lt;COUNT(Info!B:B),A9+1,"")</f>
        <v/>
      </c>
      <c r="B10" s="18" t="str">
        <f>IF(A10&lt;&gt;"",IFERROR(VLOOKUP(A10,Info!A:I,8,0),""),"")</f>
        <v/>
      </c>
      <c r="C10" s="19" t="str">
        <f>IF(A10&lt;&gt;"",IFERROR(VLOOKUP(A10,Info!A:H,2,0),""),"")</f>
        <v/>
      </c>
      <c r="D10" s="19" t="str">
        <f>IF(A10&lt;&gt;"",IFERROR(VLOOKUP(A10,Info!A:H,3,0),""),"")</f>
        <v/>
      </c>
      <c r="E10" s="19" t="str">
        <f>IF(A10&lt;&gt;"",IFERROR(VLOOKUP(A10,Info!A:H,4,0),""),"")</f>
        <v/>
      </c>
      <c r="F10" s="19" t="str">
        <f>IF(A10&lt;&gt;"",IFERROR(VLOOKUP(A10,Info!A:H,5,0),""),"")</f>
        <v/>
      </c>
      <c r="G10" s="19" t="str">
        <f>IF(A10&lt;&gt;"",IFERROR(VLOOKUP(A10,Info!A:H,6,0),""),"")</f>
        <v/>
      </c>
      <c r="H10" s="19" t="str">
        <f>IF(A10&lt;&gt;"",IFERROR(VLOOKUP(A10,Info!A:H,7,0),""),"")</f>
        <v/>
      </c>
      <c r="I10" s="9"/>
    </row>
    <row r="11" spans="1:14" s="7" customFormat="1" ht="13.5" x14ac:dyDescent="0.25">
      <c r="A11" s="18" t="str">
        <f>IF(A10&lt;COUNT(Info!B:B),A10+1,"")</f>
        <v/>
      </c>
      <c r="B11" s="18" t="str">
        <f>IF(A11&lt;&gt;"",IFERROR(VLOOKUP(A11,Info!A:I,8,0),""),"")</f>
        <v/>
      </c>
      <c r="C11" s="19" t="str">
        <f>IF(A11&lt;&gt;"",IFERROR(VLOOKUP(A11,Info!A:H,2,0),""),"")</f>
        <v/>
      </c>
      <c r="D11" s="19" t="str">
        <f>IF(A11&lt;&gt;"",IFERROR(VLOOKUP(A11,Info!A:H,3,0),""),"")</f>
        <v/>
      </c>
      <c r="E11" s="19" t="str">
        <f>IF(A11&lt;&gt;"",IFERROR(VLOOKUP(A11,Info!A:H,4,0),""),"")</f>
        <v/>
      </c>
      <c r="F11" s="19" t="str">
        <f>IF(A11&lt;&gt;"",IFERROR(VLOOKUP(A11,Info!A:H,5,0),""),"")</f>
        <v/>
      </c>
      <c r="G11" s="19" t="str">
        <f>IF(A11&lt;&gt;"",IFERROR(VLOOKUP(A11,Info!A:H,6,0),""),"")</f>
        <v/>
      </c>
      <c r="H11" s="19" t="str">
        <f>IF(A11&lt;&gt;"",IFERROR(VLOOKUP(A11,Info!A:H,7,0),""),"")</f>
        <v/>
      </c>
      <c r="I11" s="9"/>
    </row>
    <row r="12" spans="1:14" s="7" customFormat="1" ht="13.5" x14ac:dyDescent="0.25">
      <c r="A12" s="18" t="str">
        <f>IF(A11&lt;COUNT(Info!B:B),A11+1,"")</f>
        <v/>
      </c>
      <c r="B12" s="18" t="str">
        <f>IF(A12&lt;&gt;"",IFERROR(VLOOKUP(A12,Info!A:I,8,0),""),"")</f>
        <v/>
      </c>
      <c r="C12" s="19" t="str">
        <f>IF(A12&lt;&gt;"",IFERROR(VLOOKUP(A12,Info!A:H,2,0),""),"")</f>
        <v/>
      </c>
      <c r="D12" s="19" t="str">
        <f>IF(A12&lt;&gt;"",IFERROR(VLOOKUP(A12,Info!A:H,3,0),""),"")</f>
        <v/>
      </c>
      <c r="E12" s="19" t="str">
        <f>IF(A12&lt;&gt;"",IFERROR(VLOOKUP(A12,Info!A:H,4,0),""),"")</f>
        <v/>
      </c>
      <c r="F12" s="19" t="str">
        <f>IF(A12&lt;&gt;"",IFERROR(VLOOKUP(A12,Info!A:H,5,0),""),"")</f>
        <v/>
      </c>
      <c r="G12" s="19" t="str">
        <f>IF(A12&lt;&gt;"",IFERROR(VLOOKUP(A12,Info!A:H,6,0),""),"")</f>
        <v/>
      </c>
      <c r="H12" s="19" t="str">
        <f>IF(A12&lt;&gt;"",IFERROR(VLOOKUP(A12,Info!A:H,7,0),""),"")</f>
        <v/>
      </c>
      <c r="I12" s="9"/>
    </row>
    <row r="13" spans="1:14" s="7" customFormat="1" ht="13.5" x14ac:dyDescent="0.25">
      <c r="A13" s="18" t="str">
        <f>IF(A12&lt;COUNT(Info!B:B),A12+1,"")</f>
        <v/>
      </c>
      <c r="B13" s="18" t="str">
        <f>IF(A13&lt;&gt;"",IFERROR(VLOOKUP(A13,Info!A:I,8,0),""),"")</f>
        <v/>
      </c>
      <c r="C13" s="19" t="str">
        <f>IF(A13&lt;&gt;"",IFERROR(VLOOKUP(A13,Info!A:H,2,0),""),"")</f>
        <v/>
      </c>
      <c r="D13" s="19" t="str">
        <f>IF(A13&lt;&gt;"",IFERROR(VLOOKUP(A13,Info!A:H,3,0),""),"")</f>
        <v/>
      </c>
      <c r="E13" s="19" t="str">
        <f>IF(A13&lt;&gt;"",IFERROR(VLOOKUP(A13,Info!A:H,4,0),""),"")</f>
        <v/>
      </c>
      <c r="F13" s="19" t="str">
        <f>IF(A13&lt;&gt;"",IFERROR(VLOOKUP(A13,Info!A:H,5,0),""),"")</f>
        <v/>
      </c>
      <c r="G13" s="19" t="str">
        <f>IF(A13&lt;&gt;"",IFERROR(VLOOKUP(A13,Info!A:H,6,0),""),"")</f>
        <v/>
      </c>
      <c r="H13" s="19" t="str">
        <f>IF(A13&lt;&gt;"",IFERROR(VLOOKUP(A13,Info!A:H,7,0),""),"")</f>
        <v/>
      </c>
      <c r="I13" s="9"/>
    </row>
    <row r="14" spans="1:14" s="7" customFormat="1" ht="13.5" x14ac:dyDescent="0.25">
      <c r="A14" s="18" t="str">
        <f>IF(A13&lt;COUNT(Info!B:B),A13+1,"")</f>
        <v/>
      </c>
      <c r="B14" s="18" t="str">
        <f>IF(A14&lt;&gt;"",IFERROR(VLOOKUP(A14,Info!A:I,8,0),""),"")</f>
        <v/>
      </c>
      <c r="C14" s="19" t="str">
        <f>IF(A14&lt;&gt;"",IFERROR(VLOOKUP(A14,Info!A:H,2,0),""),"")</f>
        <v/>
      </c>
      <c r="D14" s="19" t="str">
        <f>IF(A14&lt;&gt;"",IFERROR(VLOOKUP(A14,Info!A:H,3,0),""),"")</f>
        <v/>
      </c>
      <c r="E14" s="19" t="str">
        <f>IF(A14&lt;&gt;"",IFERROR(VLOOKUP(A14,Info!A:H,4,0),""),"")</f>
        <v/>
      </c>
      <c r="F14" s="19" t="str">
        <f>IF(A14&lt;&gt;"",IFERROR(VLOOKUP(A14,Info!A:H,5,0),""),"")</f>
        <v/>
      </c>
      <c r="G14" s="19" t="str">
        <f>IF(A14&lt;&gt;"",IFERROR(VLOOKUP(A14,Info!A:H,6,0),""),"")</f>
        <v/>
      </c>
      <c r="H14" s="19" t="str">
        <f>IF(A14&lt;&gt;"",IFERROR(VLOOKUP(A14,Info!A:H,7,0),""),"")</f>
        <v/>
      </c>
      <c r="I14" s="9"/>
    </row>
    <row r="15" spans="1:14" s="7" customFormat="1" ht="13.5" x14ac:dyDescent="0.25">
      <c r="A15" s="18" t="str">
        <f>IF(A14&lt;COUNT(Info!B:B),A14+1,"")</f>
        <v/>
      </c>
      <c r="B15" s="18" t="str">
        <f>IF(A15&lt;&gt;"",IFERROR(VLOOKUP(A15,Info!A:I,8,0),""),"")</f>
        <v/>
      </c>
      <c r="C15" s="19" t="str">
        <f>IF(A15&lt;&gt;"",IFERROR(VLOOKUP(A15,Info!A:H,2,0),""),"")</f>
        <v/>
      </c>
      <c r="D15" s="19" t="str">
        <f>IF(A15&lt;&gt;"",IFERROR(VLOOKUP(A15,Info!A:H,3,0),""),"")</f>
        <v/>
      </c>
      <c r="E15" s="19" t="str">
        <f>IF(A15&lt;&gt;"",IFERROR(VLOOKUP(A15,Info!A:H,4,0),""),"")</f>
        <v/>
      </c>
      <c r="F15" s="19" t="str">
        <f>IF(A15&lt;&gt;"",IFERROR(VLOOKUP(A15,Info!A:H,5,0),""),"")</f>
        <v/>
      </c>
      <c r="G15" s="19" t="str">
        <f>IF(A15&lt;&gt;"",IFERROR(VLOOKUP(A15,Info!A:H,6,0),""),"")</f>
        <v/>
      </c>
      <c r="H15" s="19" t="str">
        <f>IF(A15&lt;&gt;"",IFERROR(VLOOKUP(A15,Info!A:H,7,0),""),"")</f>
        <v/>
      </c>
      <c r="I15" s="9"/>
    </row>
    <row r="16" spans="1:14" s="7" customFormat="1" ht="13.5" x14ac:dyDescent="0.25">
      <c r="A16" s="18" t="str">
        <f>IF(A15&lt;COUNT(Info!B:B),A15+1,"")</f>
        <v/>
      </c>
      <c r="B16" s="18" t="str">
        <f>IF(A16&lt;&gt;"",IFERROR(VLOOKUP(A16,Info!A:I,8,0),""),"")</f>
        <v/>
      </c>
      <c r="C16" s="19" t="str">
        <f>IF(A16&lt;&gt;"",IFERROR(VLOOKUP(A16,Info!A:H,2,0),""),"")</f>
        <v/>
      </c>
      <c r="D16" s="19" t="str">
        <f>IF(A16&lt;&gt;"",IFERROR(VLOOKUP(A16,Info!A:H,3,0),""),"")</f>
        <v/>
      </c>
      <c r="E16" s="19" t="str">
        <f>IF(A16&lt;&gt;"",IFERROR(VLOOKUP(A16,Info!A:H,4,0),""),"")</f>
        <v/>
      </c>
      <c r="F16" s="19" t="str">
        <f>IF(A16&lt;&gt;"",IFERROR(VLOOKUP(A16,Info!A:H,5,0),""),"")</f>
        <v/>
      </c>
      <c r="G16" s="19" t="str">
        <f>IF(A16&lt;&gt;"",IFERROR(VLOOKUP(A16,Info!A:H,6,0),""),"")</f>
        <v/>
      </c>
      <c r="H16" s="19" t="str">
        <f>IF(A16&lt;&gt;"",IFERROR(VLOOKUP(A16,Info!A:H,7,0),""),"")</f>
        <v/>
      </c>
      <c r="I16" s="9"/>
    </row>
    <row r="17" spans="1:9" s="7" customFormat="1" ht="13.5" x14ac:dyDescent="0.25">
      <c r="A17" s="18" t="str">
        <f>IF(A16&lt;COUNT(Info!B:B),A16+1,"")</f>
        <v/>
      </c>
      <c r="B17" s="18" t="str">
        <f>IF(A17&lt;&gt;"",IFERROR(VLOOKUP(A17,Info!A:I,8,0),""),"")</f>
        <v/>
      </c>
      <c r="C17" s="19" t="str">
        <f>IF(A17&lt;&gt;"",IFERROR(VLOOKUP(A17,Info!A:H,2,0),""),"")</f>
        <v/>
      </c>
      <c r="D17" s="19" t="str">
        <f>IF(A17&lt;&gt;"",IFERROR(VLOOKUP(A17,Info!A:H,3,0),""),"")</f>
        <v/>
      </c>
      <c r="E17" s="19" t="str">
        <f>IF(A17&lt;&gt;"",IFERROR(VLOOKUP(A17,Info!A:H,4,0),""),"")</f>
        <v/>
      </c>
      <c r="F17" s="19" t="str">
        <f>IF(A17&lt;&gt;"",IFERROR(VLOOKUP(A17,Info!A:H,5,0),""),"")</f>
        <v/>
      </c>
      <c r="G17" s="19" t="str">
        <f>IF(A17&lt;&gt;"",IFERROR(VLOOKUP(A17,Info!A:H,6,0),""),"")</f>
        <v/>
      </c>
      <c r="H17" s="19" t="str">
        <f>IF(A17&lt;&gt;"",IFERROR(VLOOKUP(A17,Info!A:H,7,0),""),"")</f>
        <v/>
      </c>
      <c r="I17" s="9"/>
    </row>
    <row r="18" spans="1:9" s="7" customFormat="1" ht="13.5" x14ac:dyDescent="0.25">
      <c r="A18" s="18" t="str">
        <f>IF(A17&lt;COUNT(Info!B:B),A17+1,"")</f>
        <v/>
      </c>
      <c r="B18" s="18" t="str">
        <f>IF(A18&lt;&gt;"",IFERROR(VLOOKUP(A18,Info!A:I,8,0),""),"")</f>
        <v/>
      </c>
      <c r="C18" s="19" t="str">
        <f>IF(A18&lt;&gt;"",IFERROR(VLOOKUP(A18,Info!A:H,2,0),""),"")</f>
        <v/>
      </c>
      <c r="D18" s="19" t="str">
        <f>IF(A18&lt;&gt;"",IFERROR(VLOOKUP(A18,Info!A:H,3,0),""),"")</f>
        <v/>
      </c>
      <c r="E18" s="19" t="str">
        <f>IF(A18&lt;&gt;"",IFERROR(VLOOKUP(A18,Info!A:H,4,0),""),"")</f>
        <v/>
      </c>
      <c r="F18" s="19" t="str">
        <f>IF(A18&lt;&gt;"",IFERROR(VLOOKUP(A18,Info!A:H,5,0),""),"")</f>
        <v/>
      </c>
      <c r="G18" s="19" t="str">
        <f>IF(A18&lt;&gt;"",IFERROR(VLOOKUP(A18,Info!A:H,6,0),""),"")</f>
        <v/>
      </c>
      <c r="H18" s="19" t="str">
        <f>IF(A18&lt;&gt;"",IFERROR(VLOOKUP(A18,Info!A:H,7,0),""),"")</f>
        <v/>
      </c>
      <c r="I18" s="9"/>
    </row>
    <row r="19" spans="1:9" s="7" customFormat="1" ht="13.5" x14ac:dyDescent="0.25">
      <c r="A19" s="18" t="str">
        <f>IF(A18&lt;COUNT(Info!B:B),A18+1,"")</f>
        <v/>
      </c>
      <c r="B19" s="18" t="str">
        <f>IF(A19&lt;&gt;"",IFERROR(VLOOKUP(A19,Info!A:I,8,0),""),"")</f>
        <v/>
      </c>
      <c r="C19" s="19" t="str">
        <f>IF(A19&lt;&gt;"",IFERROR(VLOOKUP(A19,Info!A:H,2,0),""),"")</f>
        <v/>
      </c>
      <c r="D19" s="19" t="str">
        <f>IF(A19&lt;&gt;"",IFERROR(VLOOKUP(A19,Info!A:H,3,0),""),"")</f>
        <v/>
      </c>
      <c r="E19" s="19" t="str">
        <f>IF(A19&lt;&gt;"",IFERROR(VLOOKUP(A19,Info!A:H,4,0),""),"")</f>
        <v/>
      </c>
      <c r="F19" s="19" t="str">
        <f>IF(A19&lt;&gt;"",IFERROR(VLOOKUP(A19,Info!A:H,5,0),""),"")</f>
        <v/>
      </c>
      <c r="G19" s="19" t="str">
        <f>IF(A19&lt;&gt;"",IFERROR(VLOOKUP(A19,Info!A:H,6,0),""),"")</f>
        <v/>
      </c>
      <c r="H19" s="19" t="str">
        <f>IF(A19&lt;&gt;"",IFERROR(VLOOKUP(A19,Info!A:H,7,0),""),"")</f>
        <v/>
      </c>
      <c r="I19" s="9"/>
    </row>
    <row r="20" spans="1:9" s="7" customFormat="1" ht="13.5" x14ac:dyDescent="0.25">
      <c r="A20" s="18" t="str">
        <f>IF(A19&lt;COUNT(Info!B:B),A19+1,"")</f>
        <v/>
      </c>
      <c r="B20" s="18" t="str">
        <f>IF(A20&lt;&gt;"",IFERROR(VLOOKUP(A20,Info!A:I,8,0),""),"")</f>
        <v/>
      </c>
      <c r="C20" s="19" t="str">
        <f>IF(A20&lt;&gt;"",IFERROR(VLOOKUP(A20,Info!A:H,2,0),""),"")</f>
        <v/>
      </c>
      <c r="D20" s="19" t="str">
        <f>IF(A20&lt;&gt;"",IFERROR(VLOOKUP(A20,Info!A:H,3,0),""),"")</f>
        <v/>
      </c>
      <c r="E20" s="19" t="str">
        <f>IF(A20&lt;&gt;"",IFERROR(VLOOKUP(A20,Info!A:H,4,0),""),"")</f>
        <v/>
      </c>
      <c r="F20" s="19" t="str">
        <f>IF(A20&lt;&gt;"",IFERROR(VLOOKUP(A20,Info!A:H,5,0),""),"")</f>
        <v/>
      </c>
      <c r="G20" s="19" t="str">
        <f>IF(A20&lt;&gt;"",IFERROR(VLOOKUP(A20,Info!A:H,6,0),""),"")</f>
        <v/>
      </c>
      <c r="H20" s="19" t="str">
        <f>IF(A20&lt;&gt;"",IFERROR(VLOOKUP(A20,Info!A:H,7,0),""),"")</f>
        <v/>
      </c>
      <c r="I20" s="9"/>
    </row>
    <row r="21" spans="1:9" s="7" customFormat="1" ht="13.5" x14ac:dyDescent="0.25">
      <c r="A21" s="18" t="str">
        <f>IF(A20&lt;COUNT(Info!B:B),A20+1,"")</f>
        <v/>
      </c>
      <c r="B21" s="18" t="str">
        <f>IF(A21&lt;&gt;"",IFERROR(VLOOKUP(A21,Info!A:I,8,0),""),"")</f>
        <v/>
      </c>
      <c r="C21" s="19" t="str">
        <f>IF(A21&lt;&gt;"",IFERROR(VLOOKUP(A21,Info!A:H,2,0),""),"")</f>
        <v/>
      </c>
      <c r="D21" s="19" t="str">
        <f>IF(A21&lt;&gt;"",IFERROR(VLOOKUP(A21,Info!A:H,3,0),""),"")</f>
        <v/>
      </c>
      <c r="E21" s="19" t="str">
        <f>IF(A21&lt;&gt;"",IFERROR(VLOOKUP(A21,Info!A:H,4,0),""),"")</f>
        <v/>
      </c>
      <c r="F21" s="19" t="str">
        <f>IF(A21&lt;&gt;"",IFERROR(VLOOKUP(A21,Info!A:H,5,0),""),"")</f>
        <v/>
      </c>
      <c r="G21" s="19" t="str">
        <f>IF(A21&lt;&gt;"",IFERROR(VLOOKUP(A21,Info!A:H,6,0),""),"")</f>
        <v/>
      </c>
      <c r="H21" s="19" t="str">
        <f>IF(A21&lt;&gt;"",IFERROR(VLOOKUP(A21,Info!A:H,7,0),""),"")</f>
        <v/>
      </c>
      <c r="I21" s="9"/>
    </row>
    <row r="22" spans="1:9" s="7" customFormat="1" ht="13.5" x14ac:dyDescent="0.25">
      <c r="A22" s="18" t="str">
        <f>IF(A21&lt;COUNT(Info!B:B),A21+1,"")</f>
        <v/>
      </c>
      <c r="B22" s="18" t="str">
        <f>IF(A22&lt;&gt;"",IFERROR(VLOOKUP(A22,Info!A:I,8,0),""),"")</f>
        <v/>
      </c>
      <c r="C22" s="19" t="str">
        <f>IF(A22&lt;&gt;"",IFERROR(VLOOKUP(A22,Info!A:H,2,0),""),"")</f>
        <v/>
      </c>
      <c r="D22" s="19" t="str">
        <f>IF(A22&lt;&gt;"",IFERROR(VLOOKUP(A22,Info!A:H,3,0),""),"")</f>
        <v/>
      </c>
      <c r="E22" s="19" t="str">
        <f>IF(A22&lt;&gt;"",IFERROR(VLOOKUP(A22,Info!A:H,4,0),""),"")</f>
        <v/>
      </c>
      <c r="F22" s="19" t="str">
        <f>IF(A22&lt;&gt;"",IFERROR(VLOOKUP(A22,Info!A:H,5,0),""),"")</f>
        <v/>
      </c>
      <c r="G22" s="19" t="str">
        <f>IF(A22&lt;&gt;"",IFERROR(VLOOKUP(A22,Info!A:H,6,0),""),"")</f>
        <v/>
      </c>
      <c r="H22" s="19" t="str">
        <f>IF(A22&lt;&gt;"",IFERROR(VLOOKUP(A22,Info!A:H,7,0),""),"")</f>
        <v/>
      </c>
      <c r="I22" s="9"/>
    </row>
    <row r="23" spans="1:9" s="7" customFormat="1" ht="13.5" x14ac:dyDescent="0.25">
      <c r="A23" s="18" t="str">
        <f>IF(A22&lt;COUNT(Info!B:B),A22+1,"")</f>
        <v/>
      </c>
      <c r="B23" s="18" t="str">
        <f>IF(A23&lt;&gt;"",IFERROR(VLOOKUP(A23,Info!A:I,8,0),""),"")</f>
        <v/>
      </c>
      <c r="C23" s="19" t="str">
        <f>IF(A23&lt;&gt;"",IFERROR(VLOOKUP(A23,Info!A:H,2,0),""),"")</f>
        <v/>
      </c>
      <c r="D23" s="19" t="str">
        <f>IF(A23&lt;&gt;"",IFERROR(VLOOKUP(A23,Info!A:H,3,0),""),"")</f>
        <v/>
      </c>
      <c r="E23" s="19" t="str">
        <f>IF(A23&lt;&gt;"",IFERROR(VLOOKUP(A23,Info!A:H,4,0),""),"")</f>
        <v/>
      </c>
      <c r="F23" s="19" t="str">
        <f>IF(A23&lt;&gt;"",IFERROR(VLOOKUP(A23,Info!A:H,5,0),""),"")</f>
        <v/>
      </c>
      <c r="G23" s="19" t="str">
        <f>IF(A23&lt;&gt;"",IFERROR(VLOOKUP(A23,Info!A:H,6,0),""),"")</f>
        <v/>
      </c>
      <c r="H23" s="19" t="str">
        <f>IF(A23&lt;&gt;"",IFERROR(VLOOKUP(A23,Info!A:H,7,0),""),"")</f>
        <v/>
      </c>
      <c r="I23" s="9"/>
    </row>
    <row r="24" spans="1:9" s="7" customFormat="1" ht="13.5" x14ac:dyDescent="0.25">
      <c r="A24" s="18" t="str">
        <f>IF(A23&lt;COUNT(Info!B:B),A23+1,"")</f>
        <v/>
      </c>
      <c r="B24" s="18" t="str">
        <f>IF(A24&lt;&gt;"",IFERROR(VLOOKUP(A24,Info!A:I,8,0),""),"")</f>
        <v/>
      </c>
      <c r="C24" s="19" t="str">
        <f>IF(A24&lt;&gt;"",IFERROR(VLOOKUP(A24,Info!A:H,2,0),""),"")</f>
        <v/>
      </c>
      <c r="D24" s="19" t="str">
        <f>IF(A24&lt;&gt;"",IFERROR(VLOOKUP(A24,Info!A:H,3,0),""),"")</f>
        <v/>
      </c>
      <c r="E24" s="19" t="str">
        <f>IF(A24&lt;&gt;"",IFERROR(VLOOKUP(A24,Info!A:H,4,0),""),"")</f>
        <v/>
      </c>
      <c r="F24" s="19" t="str">
        <f>IF(A24&lt;&gt;"",IFERROR(VLOOKUP(A24,Info!A:H,5,0),""),"")</f>
        <v/>
      </c>
      <c r="G24" s="19" t="str">
        <f>IF(A24&lt;&gt;"",IFERROR(VLOOKUP(A24,Info!A:H,6,0),""),"")</f>
        <v/>
      </c>
      <c r="H24" s="19" t="str">
        <f>IF(A24&lt;&gt;"",IFERROR(VLOOKUP(A24,Info!A:H,7,0),""),"")</f>
        <v/>
      </c>
      <c r="I24" s="9"/>
    </row>
    <row r="25" spans="1:9" s="7" customFormat="1" ht="13.5" x14ac:dyDescent="0.25">
      <c r="A25" s="18" t="str">
        <f>IF(A24&lt;COUNT(Info!B:B),A24+1,"")</f>
        <v/>
      </c>
      <c r="B25" s="18" t="str">
        <f>IF(A25&lt;&gt;"",IFERROR(VLOOKUP(A25,Info!A:I,8,0),""),"")</f>
        <v/>
      </c>
      <c r="C25" s="19" t="str">
        <f>IF(A25&lt;&gt;"",IFERROR(VLOOKUP(A25,Info!A:H,2,0),""),"")</f>
        <v/>
      </c>
      <c r="D25" s="19" t="str">
        <f>IF(A25&lt;&gt;"",IFERROR(VLOOKUP(A25,Info!A:H,3,0),""),"")</f>
        <v/>
      </c>
      <c r="E25" s="19" t="str">
        <f>IF(A25&lt;&gt;"",IFERROR(VLOOKUP(A25,Info!A:H,4,0),""),"")</f>
        <v/>
      </c>
      <c r="F25" s="19" t="str">
        <f>IF(A25&lt;&gt;"",IFERROR(VLOOKUP(A25,Info!A:H,5,0),""),"")</f>
        <v/>
      </c>
      <c r="G25" s="19" t="str">
        <f>IF(A25&lt;&gt;"",IFERROR(VLOOKUP(A25,Info!A:H,6,0),""),"")</f>
        <v/>
      </c>
      <c r="H25" s="19" t="str">
        <f>IF(A25&lt;&gt;"",IFERROR(VLOOKUP(A25,Info!A:H,7,0),""),"")</f>
        <v/>
      </c>
      <c r="I25" s="9"/>
    </row>
    <row r="26" spans="1:9" s="7" customFormat="1" ht="13.5" x14ac:dyDescent="0.25">
      <c r="A26" s="18" t="str">
        <f>IF(A25&lt;COUNT(Info!B:B),A25+1,"")</f>
        <v/>
      </c>
      <c r="B26" s="18" t="str">
        <f>IF(A26&lt;&gt;"",IFERROR(VLOOKUP(A26,Info!A:I,8,0),""),"")</f>
        <v/>
      </c>
      <c r="C26" s="19" t="str">
        <f>IF(A26&lt;&gt;"",IFERROR(VLOOKUP(A26,Info!A:H,2,0),""),"")</f>
        <v/>
      </c>
      <c r="D26" s="19" t="str">
        <f>IF(A26&lt;&gt;"",IFERROR(VLOOKUP(A26,Info!A:H,3,0),""),"")</f>
        <v/>
      </c>
      <c r="E26" s="19" t="str">
        <f>IF(A26&lt;&gt;"",IFERROR(VLOOKUP(A26,Info!A:H,4,0),""),"")</f>
        <v/>
      </c>
      <c r="F26" s="19" t="str">
        <f>IF(A26&lt;&gt;"",IFERROR(VLOOKUP(A26,Info!A:H,5,0),""),"")</f>
        <v/>
      </c>
      <c r="G26" s="19" t="str">
        <f>IF(A26&lt;&gt;"",IFERROR(VLOOKUP(A26,Info!A:H,6,0),""),"")</f>
        <v/>
      </c>
      <c r="H26" s="19" t="str">
        <f>IF(A26&lt;&gt;"",IFERROR(VLOOKUP(A26,Info!A:H,7,0),""),"")</f>
        <v/>
      </c>
      <c r="I26" s="9"/>
    </row>
    <row r="27" spans="1:9" s="7" customFormat="1" ht="13.5" x14ac:dyDescent="0.25">
      <c r="A27" s="18" t="str">
        <f>IF(A26&lt;COUNT(Info!B:B),A26+1,"")</f>
        <v/>
      </c>
      <c r="B27" s="18" t="str">
        <f>IF(A27&lt;&gt;"",IFERROR(VLOOKUP(A27,Info!A:I,8,0),""),"")</f>
        <v/>
      </c>
      <c r="C27" s="19" t="str">
        <f>IF(A27&lt;&gt;"",IFERROR(VLOOKUP(A27,Info!A:H,2,0),""),"")</f>
        <v/>
      </c>
      <c r="D27" s="19" t="str">
        <f>IF(A27&lt;&gt;"",IFERROR(VLOOKUP(A27,Info!A:H,3,0),""),"")</f>
        <v/>
      </c>
      <c r="E27" s="19" t="str">
        <f>IF(A27&lt;&gt;"",IFERROR(VLOOKUP(A27,Info!A:H,4,0),""),"")</f>
        <v/>
      </c>
      <c r="F27" s="19" t="str">
        <f>IF(A27&lt;&gt;"",IFERROR(VLOOKUP(A27,Info!A:H,5,0),""),"")</f>
        <v/>
      </c>
      <c r="G27" s="19" t="str">
        <f>IF(A27&lt;&gt;"",IFERROR(VLOOKUP(A27,Info!A:H,6,0),""),"")</f>
        <v/>
      </c>
      <c r="H27" s="19" t="str">
        <f>IF(A27&lt;&gt;"",IFERROR(VLOOKUP(A27,Info!A:H,7,0),""),"")</f>
        <v/>
      </c>
      <c r="I27" s="9"/>
    </row>
    <row r="28" spans="1:9" s="7" customFormat="1" ht="13.5" x14ac:dyDescent="0.25">
      <c r="A28" s="18" t="str">
        <f>IF(A27&lt;COUNT(Info!B:B),A27+1,"")</f>
        <v/>
      </c>
      <c r="B28" s="18" t="str">
        <f>IF(A28&lt;&gt;"",IFERROR(VLOOKUP(A28,Info!A:I,8,0),""),"")</f>
        <v/>
      </c>
      <c r="C28" s="19" t="str">
        <f>IF(A28&lt;&gt;"",IFERROR(VLOOKUP(A28,Info!A:H,2,0),""),"")</f>
        <v/>
      </c>
      <c r="D28" s="19" t="str">
        <f>IF(A28&lt;&gt;"",IFERROR(VLOOKUP(A28,Info!A:H,3,0),""),"")</f>
        <v/>
      </c>
      <c r="E28" s="19" t="str">
        <f>IF(A28&lt;&gt;"",IFERROR(VLOOKUP(A28,Info!A:H,4,0),""),"")</f>
        <v/>
      </c>
      <c r="F28" s="19" t="str">
        <f>IF(A28&lt;&gt;"",IFERROR(VLOOKUP(A28,Info!A:H,5,0),""),"")</f>
        <v/>
      </c>
      <c r="G28" s="19" t="str">
        <f>IF(A28&lt;&gt;"",IFERROR(VLOOKUP(A28,Info!A:H,6,0),""),"")</f>
        <v/>
      </c>
      <c r="H28" s="19" t="str">
        <f>IF(A28&lt;&gt;"",IFERROR(VLOOKUP(A28,Info!A:H,7,0),""),"")</f>
        <v/>
      </c>
      <c r="I28" s="9"/>
    </row>
    <row r="29" spans="1:9" s="7" customFormat="1" ht="13.5" x14ac:dyDescent="0.25">
      <c r="A29" s="18" t="str">
        <f>IF(A28&lt;COUNT(Info!B:B),A28+1,"")</f>
        <v/>
      </c>
      <c r="B29" s="18" t="str">
        <f>IF(A29&lt;&gt;"",IFERROR(VLOOKUP(A29,Info!A:I,8,0),""),"")</f>
        <v/>
      </c>
      <c r="C29" s="19" t="str">
        <f>IF(A29&lt;&gt;"",IFERROR(VLOOKUP(A29,Info!A:H,2,0),""),"")</f>
        <v/>
      </c>
      <c r="D29" s="19" t="str">
        <f>IF(A29&lt;&gt;"",IFERROR(VLOOKUP(A29,Info!A:H,3,0),""),"")</f>
        <v/>
      </c>
      <c r="E29" s="19" t="str">
        <f>IF(A29&lt;&gt;"",IFERROR(VLOOKUP(A29,Info!A:H,4,0),""),"")</f>
        <v/>
      </c>
      <c r="F29" s="19" t="str">
        <f>IF(A29&lt;&gt;"",IFERROR(VLOOKUP(A29,Info!A:H,5,0),""),"")</f>
        <v/>
      </c>
      <c r="G29" s="19" t="str">
        <f>IF(A29&lt;&gt;"",IFERROR(VLOOKUP(A29,Info!A:H,6,0),""),"")</f>
        <v/>
      </c>
      <c r="H29" s="19" t="str">
        <f>IF(A29&lt;&gt;"",IFERROR(VLOOKUP(A29,Info!A:H,7,0),""),"")</f>
        <v/>
      </c>
      <c r="I29" s="9"/>
    </row>
    <row r="30" spans="1:9" s="7" customFormat="1" ht="13.5" x14ac:dyDescent="0.25">
      <c r="A30" s="18" t="str">
        <f>IF(A29&lt;COUNT(Info!B:B),A29+1,"")</f>
        <v/>
      </c>
      <c r="B30" s="18" t="str">
        <f>IF(A30&lt;&gt;"",IFERROR(VLOOKUP(A30,Info!A:I,8,0),""),"")</f>
        <v/>
      </c>
      <c r="C30" s="19" t="str">
        <f>IF(A30&lt;&gt;"",IFERROR(VLOOKUP(A30,Info!A:H,2,0),""),"")</f>
        <v/>
      </c>
      <c r="D30" s="19" t="str">
        <f>IF(A30&lt;&gt;"",IFERROR(VLOOKUP(A30,Info!A:H,3,0),""),"")</f>
        <v/>
      </c>
      <c r="E30" s="19" t="str">
        <f>IF(A30&lt;&gt;"",IFERROR(VLOOKUP(A30,Info!A:H,4,0),""),"")</f>
        <v/>
      </c>
      <c r="F30" s="19" t="str">
        <f>IF(A30&lt;&gt;"",IFERROR(VLOOKUP(A30,Info!A:H,5,0),""),"")</f>
        <v/>
      </c>
      <c r="G30" s="19" t="str">
        <f>IF(A30&lt;&gt;"",IFERROR(VLOOKUP(A30,Info!A:H,6,0),""),"")</f>
        <v/>
      </c>
      <c r="H30" s="19" t="str">
        <f>IF(A30&lt;&gt;"",IFERROR(VLOOKUP(A30,Info!A:H,7,0),""),"")</f>
        <v/>
      </c>
      <c r="I30" s="9"/>
    </row>
    <row r="31" spans="1:9" s="7" customFormat="1" ht="13.5" x14ac:dyDescent="0.25">
      <c r="A31" s="18" t="str">
        <f>IF(A30&lt;COUNT(Info!B:B),A30+1,"")</f>
        <v/>
      </c>
      <c r="B31" s="18" t="str">
        <f>IF(A31&lt;&gt;"",IFERROR(VLOOKUP(A31,Info!A:I,8,0),""),"")</f>
        <v/>
      </c>
      <c r="C31" s="19" t="str">
        <f>IF(A31&lt;&gt;"",IFERROR(VLOOKUP(A31,Info!A:H,2,0),""),"")</f>
        <v/>
      </c>
      <c r="D31" s="19" t="str">
        <f>IF(A31&lt;&gt;"",IFERROR(VLOOKUP(A31,Info!A:H,3,0),""),"")</f>
        <v/>
      </c>
      <c r="E31" s="19" t="str">
        <f>IF(A31&lt;&gt;"",IFERROR(VLOOKUP(A31,Info!A:H,4,0),""),"")</f>
        <v/>
      </c>
      <c r="F31" s="19" t="str">
        <f>IF(A31&lt;&gt;"",IFERROR(VLOOKUP(A31,Info!A:H,5,0),""),"")</f>
        <v/>
      </c>
      <c r="G31" s="19" t="str">
        <f>IF(A31&lt;&gt;"",IFERROR(VLOOKUP(A31,Info!A:H,6,0),""),"")</f>
        <v/>
      </c>
      <c r="H31" s="19" t="str">
        <f>IF(A31&lt;&gt;"",IFERROR(VLOOKUP(A31,Info!A:H,7,0),""),"")</f>
        <v/>
      </c>
      <c r="I31" s="9"/>
    </row>
    <row r="32" spans="1:9" s="7" customFormat="1" ht="13.5" x14ac:dyDescent="0.25">
      <c r="A32" s="18" t="str">
        <f>IF(A31&lt;COUNT(Info!B:B),A31+1,"")</f>
        <v/>
      </c>
      <c r="B32" s="18" t="str">
        <f>IF(A32&lt;&gt;"",IFERROR(VLOOKUP(A32,Info!A:I,8,0),""),"")</f>
        <v/>
      </c>
      <c r="C32" s="19" t="str">
        <f>IF(A32&lt;&gt;"",IFERROR(VLOOKUP(A32,Info!A:H,2,0),""),"")</f>
        <v/>
      </c>
      <c r="D32" s="19" t="str">
        <f>IF(A32&lt;&gt;"",IFERROR(VLOOKUP(A32,Info!A:H,3,0),""),"")</f>
        <v/>
      </c>
      <c r="E32" s="19" t="str">
        <f>IF(A32&lt;&gt;"",IFERROR(VLOOKUP(A32,Info!A:H,4,0),""),"")</f>
        <v/>
      </c>
      <c r="F32" s="19" t="str">
        <f>IF(A32&lt;&gt;"",IFERROR(VLOOKUP(A32,Info!A:H,5,0),""),"")</f>
        <v/>
      </c>
      <c r="G32" s="19" t="str">
        <f>IF(A32&lt;&gt;"",IFERROR(VLOOKUP(A32,Info!A:H,6,0),""),"")</f>
        <v/>
      </c>
      <c r="H32" s="19" t="str">
        <f>IF(A32&lt;&gt;"",IFERROR(VLOOKUP(A32,Info!A:H,7,0),""),"")</f>
        <v/>
      </c>
      <c r="I32" s="9"/>
    </row>
    <row r="33" spans="1:9" s="7" customFormat="1" ht="13.5" x14ac:dyDescent="0.25">
      <c r="A33" s="18" t="str">
        <f>IF(A32&lt;COUNT(Info!B:B),A32+1,"")</f>
        <v/>
      </c>
      <c r="B33" s="18" t="str">
        <f>IF(A33&lt;&gt;"",IFERROR(VLOOKUP(A33,Info!A:I,8,0),""),"")</f>
        <v/>
      </c>
      <c r="C33" s="19" t="str">
        <f>IF(A33&lt;&gt;"",IFERROR(VLOOKUP(A33,Info!A:H,2,0),""),"")</f>
        <v/>
      </c>
      <c r="D33" s="19" t="str">
        <f>IF(A33&lt;&gt;"",IFERROR(VLOOKUP(A33,Info!A:H,3,0),""),"")</f>
        <v/>
      </c>
      <c r="E33" s="19" t="str">
        <f>IF(A33&lt;&gt;"",IFERROR(VLOOKUP(A33,Info!A:H,4,0),""),"")</f>
        <v/>
      </c>
      <c r="F33" s="19" t="str">
        <f>IF(A33&lt;&gt;"",IFERROR(VLOOKUP(A33,Info!A:H,5,0),""),"")</f>
        <v/>
      </c>
      <c r="G33" s="19" t="str">
        <f>IF(A33&lt;&gt;"",IFERROR(VLOOKUP(A33,Info!A:H,6,0),""),"")</f>
        <v/>
      </c>
      <c r="H33" s="19" t="str">
        <f>IF(A33&lt;&gt;"",IFERROR(VLOOKUP(A33,Info!A:H,7,0),""),"")</f>
        <v/>
      </c>
      <c r="I33" s="9"/>
    </row>
    <row r="34" spans="1:9" s="7" customFormat="1" ht="13.5" x14ac:dyDescent="0.25">
      <c r="A34" s="18" t="str">
        <f>IF(A33&lt;COUNT(Info!B:B),A33+1,"")</f>
        <v/>
      </c>
      <c r="B34" s="18" t="str">
        <f>IF(A34&lt;&gt;"",IFERROR(VLOOKUP(A34,Info!A:I,8,0),""),"")</f>
        <v/>
      </c>
      <c r="C34" s="19" t="str">
        <f>IF(A34&lt;&gt;"",IFERROR(VLOOKUP(A34,Info!A:H,2,0),""),"")</f>
        <v/>
      </c>
      <c r="D34" s="19" t="str">
        <f>IF(A34&lt;&gt;"",IFERROR(VLOOKUP(A34,Info!A:H,3,0),""),"")</f>
        <v/>
      </c>
      <c r="E34" s="19" t="str">
        <f>IF(A34&lt;&gt;"",IFERROR(VLOOKUP(A34,Info!A:H,4,0),""),"")</f>
        <v/>
      </c>
      <c r="F34" s="19" t="str">
        <f>IF(A34&lt;&gt;"",IFERROR(VLOOKUP(A34,Info!A:H,5,0),""),"")</f>
        <v/>
      </c>
      <c r="G34" s="19" t="str">
        <f>IF(A34&lt;&gt;"",IFERROR(VLOOKUP(A34,Info!A:H,6,0),""),"")</f>
        <v/>
      </c>
      <c r="H34" s="19" t="str">
        <f>IF(A34&lt;&gt;"",IFERROR(VLOOKUP(A34,Info!A:H,7,0),""),"")</f>
        <v/>
      </c>
      <c r="I34" s="9"/>
    </row>
    <row r="35" spans="1:9" s="7" customFormat="1" ht="13.5" x14ac:dyDescent="0.25">
      <c r="A35" s="18" t="str">
        <f>IF(A34&lt;COUNT(Info!B:B),A34+1,"")</f>
        <v/>
      </c>
      <c r="B35" s="18" t="str">
        <f>IF(A35&lt;&gt;"",IFERROR(VLOOKUP(A35,Info!A:I,8,0),""),"")</f>
        <v/>
      </c>
      <c r="C35" s="19" t="str">
        <f>IF(A35&lt;&gt;"",IFERROR(VLOOKUP(A35,Info!A:H,2,0),""),"")</f>
        <v/>
      </c>
      <c r="D35" s="19" t="str">
        <f>IF(A35&lt;&gt;"",IFERROR(VLOOKUP(A35,Info!A:H,3,0),""),"")</f>
        <v/>
      </c>
      <c r="E35" s="19" t="str">
        <f>IF(A35&lt;&gt;"",IFERROR(VLOOKUP(A35,Info!A:H,4,0),""),"")</f>
        <v/>
      </c>
      <c r="F35" s="19" t="str">
        <f>IF(A35&lt;&gt;"",IFERROR(VLOOKUP(A35,Info!A:H,5,0),""),"")</f>
        <v/>
      </c>
      <c r="G35" s="19" t="str">
        <f>IF(A35&lt;&gt;"",IFERROR(VLOOKUP(A35,Info!A:H,6,0),""),"")</f>
        <v/>
      </c>
      <c r="H35" s="19" t="str">
        <f>IF(A35&lt;&gt;"",IFERROR(VLOOKUP(A35,Info!A:H,7,0),""),"")</f>
        <v/>
      </c>
      <c r="I35" s="9"/>
    </row>
    <row r="36" spans="1:9" s="7" customFormat="1" ht="13.5" x14ac:dyDescent="0.25">
      <c r="A36" s="18" t="str">
        <f>IF(A35&lt;COUNT(Info!B:B),A35+1,"")</f>
        <v/>
      </c>
      <c r="B36" s="18" t="str">
        <f>IF(A36&lt;&gt;"",IFERROR(VLOOKUP(A36,Info!A:I,8,0),""),"")</f>
        <v/>
      </c>
      <c r="C36" s="19" t="str">
        <f>IF(A36&lt;&gt;"",IFERROR(VLOOKUP(A36,Info!A:H,2,0),""),"")</f>
        <v/>
      </c>
      <c r="D36" s="19" t="str">
        <f>IF(A36&lt;&gt;"",IFERROR(VLOOKUP(A36,Info!A:H,3,0),""),"")</f>
        <v/>
      </c>
      <c r="E36" s="19" t="str">
        <f>IF(A36&lt;&gt;"",IFERROR(VLOOKUP(A36,Info!A:H,4,0),""),"")</f>
        <v/>
      </c>
      <c r="F36" s="19" t="str">
        <f>IF(A36&lt;&gt;"",IFERROR(VLOOKUP(A36,Info!A:H,5,0),""),"")</f>
        <v/>
      </c>
      <c r="G36" s="19" t="str">
        <f>IF(A36&lt;&gt;"",IFERROR(VLOOKUP(A36,Info!A:H,6,0),""),"")</f>
        <v/>
      </c>
      <c r="H36" s="19" t="str">
        <f>IF(A36&lt;&gt;"",IFERROR(VLOOKUP(A36,Info!A:H,7,0),""),"")</f>
        <v/>
      </c>
      <c r="I36" s="9"/>
    </row>
    <row r="37" spans="1:9" s="7" customFormat="1" ht="13.5" x14ac:dyDescent="0.25">
      <c r="A37" s="18" t="str">
        <f>IF(A36&lt;COUNT(Info!B:B),A36+1,"")</f>
        <v/>
      </c>
      <c r="B37" s="18" t="str">
        <f>IF(A37&lt;&gt;"",IFERROR(VLOOKUP(A37,Info!A:I,8,0),""),"")</f>
        <v/>
      </c>
      <c r="C37" s="19" t="str">
        <f>IF(A37&lt;&gt;"",IFERROR(VLOOKUP(A37,Info!A:H,2,0),""),"")</f>
        <v/>
      </c>
      <c r="D37" s="19" t="str">
        <f>IF(A37&lt;&gt;"",IFERROR(VLOOKUP(A37,Info!A:H,3,0),""),"")</f>
        <v/>
      </c>
      <c r="E37" s="19" t="str">
        <f>IF(A37&lt;&gt;"",IFERROR(VLOOKUP(A37,Info!A:H,4,0),""),"")</f>
        <v/>
      </c>
      <c r="F37" s="19" t="str">
        <f>IF(A37&lt;&gt;"",IFERROR(VLOOKUP(A37,Info!A:H,5,0),""),"")</f>
        <v/>
      </c>
      <c r="G37" s="19" t="str">
        <f>IF(A37&lt;&gt;"",IFERROR(VLOOKUP(A37,Info!A:H,6,0),""),"")</f>
        <v/>
      </c>
      <c r="H37" s="19" t="str">
        <f>IF(A37&lt;&gt;"",IFERROR(VLOOKUP(A37,Info!A:H,7,0),""),"")</f>
        <v/>
      </c>
      <c r="I37" s="9"/>
    </row>
    <row r="38" spans="1:9" s="7" customFormat="1" ht="13.5" x14ac:dyDescent="0.25">
      <c r="A38" s="18" t="str">
        <f>IF(A37&lt;COUNT(Info!B:B),A37+1,"")</f>
        <v/>
      </c>
      <c r="B38" s="18" t="str">
        <f>IF(A38&lt;&gt;"",IFERROR(VLOOKUP(A38,Info!A:I,8,0),""),"")</f>
        <v/>
      </c>
      <c r="C38" s="19" t="str">
        <f>IF(A38&lt;&gt;"",IFERROR(VLOOKUP(A38,Info!A:H,2,0),""),"")</f>
        <v/>
      </c>
      <c r="D38" s="19" t="str">
        <f>IF(A38&lt;&gt;"",IFERROR(VLOOKUP(A38,Info!A:H,3,0),""),"")</f>
        <v/>
      </c>
      <c r="E38" s="19" t="str">
        <f>IF(A38&lt;&gt;"",IFERROR(VLOOKUP(A38,Info!A:H,4,0),""),"")</f>
        <v/>
      </c>
      <c r="F38" s="19" t="str">
        <f>IF(A38&lt;&gt;"",IFERROR(VLOOKUP(A38,Info!A:H,5,0),""),"")</f>
        <v/>
      </c>
      <c r="G38" s="19" t="str">
        <f>IF(A38&lt;&gt;"",IFERROR(VLOOKUP(A38,Info!A:H,6,0),""),"")</f>
        <v/>
      </c>
      <c r="H38" s="19" t="str">
        <f>IF(A38&lt;&gt;"",IFERROR(VLOOKUP(A38,Info!A:H,7,0),""),"")</f>
        <v/>
      </c>
      <c r="I38" s="9"/>
    </row>
    <row r="39" spans="1:9" s="7" customFormat="1" ht="13.5" x14ac:dyDescent="0.25">
      <c r="A39" s="18" t="str">
        <f>IF(A38&lt;COUNT(Info!B:B),A38+1,"")</f>
        <v/>
      </c>
      <c r="B39" s="18" t="str">
        <f>IF(A39&lt;&gt;"",IFERROR(VLOOKUP(A39,Info!A:I,8,0),""),"")</f>
        <v/>
      </c>
      <c r="C39" s="19" t="str">
        <f>IF(A39&lt;&gt;"",IFERROR(VLOOKUP(A39,Info!A:H,2,0),""),"")</f>
        <v/>
      </c>
      <c r="D39" s="19" t="str">
        <f>IF(A39&lt;&gt;"",IFERROR(VLOOKUP(A39,Info!A:H,3,0),""),"")</f>
        <v/>
      </c>
      <c r="E39" s="19" t="str">
        <f>IF(A39&lt;&gt;"",IFERROR(VLOOKUP(A39,Info!A:H,4,0),""),"")</f>
        <v/>
      </c>
      <c r="F39" s="19" t="str">
        <f>IF(A39&lt;&gt;"",IFERROR(VLOOKUP(A39,Info!A:H,5,0),""),"")</f>
        <v/>
      </c>
      <c r="G39" s="19" t="str">
        <f>IF(A39&lt;&gt;"",IFERROR(VLOOKUP(A39,Info!A:H,6,0),""),"")</f>
        <v/>
      </c>
      <c r="H39" s="19" t="str">
        <f>IF(A39&lt;&gt;"",IFERROR(VLOOKUP(A39,Info!A:H,7,0),""),"")</f>
        <v/>
      </c>
      <c r="I39" s="9"/>
    </row>
    <row r="40" spans="1:9" s="7" customFormat="1" ht="13.5" x14ac:dyDescent="0.25">
      <c r="A40" s="18" t="str">
        <f>IF(A39&lt;COUNT(Info!B:B),A39+1,"")</f>
        <v/>
      </c>
      <c r="B40" s="18" t="str">
        <f>IF(A40&lt;&gt;"",IFERROR(VLOOKUP(A40,Info!A:I,8,0),""),"")</f>
        <v/>
      </c>
      <c r="C40" s="19" t="str">
        <f>IF(A40&lt;&gt;"",IFERROR(VLOOKUP(A40,Info!A:H,2,0),""),"")</f>
        <v/>
      </c>
      <c r="D40" s="19" t="str">
        <f>IF(A40&lt;&gt;"",IFERROR(VLOOKUP(A40,Info!A:H,3,0),""),"")</f>
        <v/>
      </c>
      <c r="E40" s="19" t="str">
        <f>IF(A40&lt;&gt;"",IFERROR(VLOOKUP(A40,Info!A:H,4,0),""),"")</f>
        <v/>
      </c>
      <c r="F40" s="19" t="str">
        <f>IF(A40&lt;&gt;"",IFERROR(VLOOKUP(A40,Info!A:H,5,0),""),"")</f>
        <v/>
      </c>
      <c r="G40" s="19" t="str">
        <f>IF(A40&lt;&gt;"",IFERROR(VLOOKUP(A40,Info!A:H,6,0),""),"")</f>
        <v/>
      </c>
      <c r="H40" s="19" t="str">
        <f>IF(A40&lt;&gt;"",IFERROR(VLOOKUP(A40,Info!A:H,7,0),""),"")</f>
        <v/>
      </c>
      <c r="I40" s="9"/>
    </row>
    <row r="41" spans="1:9" s="7" customFormat="1" ht="13.5" x14ac:dyDescent="0.25">
      <c r="A41" s="18" t="str">
        <f>IF(A40&lt;COUNT(Info!B:B),A40+1,"")</f>
        <v/>
      </c>
      <c r="B41" s="18" t="str">
        <f>IF(A41&lt;&gt;"",IFERROR(VLOOKUP(A41,Info!A:I,8,0),""),"")</f>
        <v/>
      </c>
      <c r="C41" s="19" t="str">
        <f>IF(A41&lt;&gt;"",IFERROR(VLOOKUP(A41,Info!A:H,2,0),""),"")</f>
        <v/>
      </c>
      <c r="D41" s="19" t="str">
        <f>IF(A41&lt;&gt;"",IFERROR(VLOOKUP(A41,Info!A:H,3,0),""),"")</f>
        <v/>
      </c>
      <c r="E41" s="19" t="str">
        <f>IF(A41&lt;&gt;"",IFERROR(VLOOKUP(A41,Info!A:H,4,0),""),"")</f>
        <v/>
      </c>
      <c r="F41" s="19" t="str">
        <f>IF(A41&lt;&gt;"",IFERROR(VLOOKUP(A41,Info!A:H,5,0),""),"")</f>
        <v/>
      </c>
      <c r="G41" s="19" t="str">
        <f>IF(A41&lt;&gt;"",IFERROR(VLOOKUP(A41,Info!A:H,6,0),""),"")</f>
        <v/>
      </c>
      <c r="H41" s="19" t="str">
        <f>IF(A41&lt;&gt;"",IFERROR(VLOOKUP(A41,Info!A:H,7,0),""),"")</f>
        <v/>
      </c>
      <c r="I41" s="9"/>
    </row>
    <row r="42" spans="1:9" s="7" customFormat="1" ht="13.5" x14ac:dyDescent="0.25">
      <c r="A42" s="18" t="str">
        <f>IF(A41&lt;COUNT(Info!B:B),A41+1,"")</f>
        <v/>
      </c>
      <c r="B42" s="18" t="str">
        <f>IF(A42&lt;&gt;"",IFERROR(VLOOKUP(A42,Info!A:I,8,0),""),"")</f>
        <v/>
      </c>
      <c r="C42" s="19" t="str">
        <f>IF(A42&lt;&gt;"",IFERROR(VLOOKUP(A42,Info!A:H,2,0),""),"")</f>
        <v/>
      </c>
      <c r="D42" s="19" t="str">
        <f>IF(A42&lt;&gt;"",IFERROR(VLOOKUP(A42,Info!A:H,3,0),""),"")</f>
        <v/>
      </c>
      <c r="E42" s="19" t="str">
        <f>IF(A42&lt;&gt;"",IFERROR(VLOOKUP(A42,Info!A:H,4,0),""),"")</f>
        <v/>
      </c>
      <c r="F42" s="19" t="str">
        <f>IF(A42&lt;&gt;"",IFERROR(VLOOKUP(A42,Info!A:H,5,0),""),"")</f>
        <v/>
      </c>
      <c r="G42" s="19" t="str">
        <f>IF(A42&lt;&gt;"",IFERROR(VLOOKUP(A42,Info!A:H,6,0),""),"")</f>
        <v/>
      </c>
      <c r="H42" s="19" t="str">
        <f>IF(A42&lt;&gt;"",IFERROR(VLOOKUP(A42,Info!A:H,7,0),""),"")</f>
        <v/>
      </c>
      <c r="I42" s="9"/>
    </row>
    <row r="43" spans="1:9" s="7" customFormat="1" ht="13.5" x14ac:dyDescent="0.25">
      <c r="A43" s="18" t="str">
        <f>IF(A42&lt;COUNT(Info!B:B),A42+1,"")</f>
        <v/>
      </c>
      <c r="B43" s="18" t="str">
        <f>IF(A43&lt;&gt;"",IFERROR(VLOOKUP(A43,Info!A:I,8,0),""),"")</f>
        <v/>
      </c>
      <c r="C43" s="19" t="str">
        <f>IF(A43&lt;&gt;"",IFERROR(VLOOKUP(A43,Info!A:H,2,0),""),"")</f>
        <v/>
      </c>
      <c r="D43" s="19" t="str">
        <f>IF(A43&lt;&gt;"",IFERROR(VLOOKUP(A43,Info!A:H,3,0),""),"")</f>
        <v/>
      </c>
      <c r="E43" s="19" t="str">
        <f>IF(A43&lt;&gt;"",IFERROR(VLOOKUP(A43,Info!A:H,4,0),""),"")</f>
        <v/>
      </c>
      <c r="F43" s="19" t="str">
        <f>IF(A43&lt;&gt;"",IFERROR(VLOOKUP(A43,Info!A:H,5,0),""),"")</f>
        <v/>
      </c>
      <c r="G43" s="19" t="str">
        <f>IF(A43&lt;&gt;"",IFERROR(VLOOKUP(A43,Info!A:H,6,0),""),"")</f>
        <v/>
      </c>
      <c r="H43" s="19" t="str">
        <f>IF(A43&lt;&gt;"",IFERROR(VLOOKUP(A43,Info!A:H,7,0),""),"")</f>
        <v/>
      </c>
      <c r="I43" s="9"/>
    </row>
    <row r="44" spans="1:9" s="7" customFormat="1" ht="13.5" x14ac:dyDescent="0.25">
      <c r="A44" s="18" t="str">
        <f>IF(A43&lt;COUNT(Info!B:B),A43+1,"")</f>
        <v/>
      </c>
      <c r="B44" s="18" t="str">
        <f>IF(A44&lt;&gt;"",IFERROR(VLOOKUP(A44,Info!A:I,8,0),""),"")</f>
        <v/>
      </c>
      <c r="C44" s="19" t="str">
        <f>IF(A44&lt;&gt;"",IFERROR(VLOOKUP(A44,Info!A:H,2,0),""),"")</f>
        <v/>
      </c>
      <c r="D44" s="19" t="str">
        <f>IF(A44&lt;&gt;"",IFERROR(VLOOKUP(A44,Info!A:H,3,0),""),"")</f>
        <v/>
      </c>
      <c r="E44" s="19" t="str">
        <f>IF(A44&lt;&gt;"",IFERROR(VLOOKUP(A44,Info!A:H,4,0),""),"")</f>
        <v/>
      </c>
      <c r="F44" s="19" t="str">
        <f>IF(A44&lt;&gt;"",IFERROR(VLOOKUP(A44,Info!A:H,5,0),""),"")</f>
        <v/>
      </c>
      <c r="G44" s="19" t="str">
        <f>IF(A44&lt;&gt;"",IFERROR(VLOOKUP(A44,Info!A:H,6,0),""),"")</f>
        <v/>
      </c>
      <c r="H44" s="19" t="str">
        <f>IF(A44&lt;&gt;"",IFERROR(VLOOKUP(A44,Info!A:H,7,0),""),"")</f>
        <v/>
      </c>
      <c r="I44" s="9"/>
    </row>
    <row r="45" spans="1:9" s="7" customFormat="1" ht="13.5" x14ac:dyDescent="0.25">
      <c r="A45" s="18" t="str">
        <f>IF(A44&lt;COUNT(Info!B:B),A44+1,"")</f>
        <v/>
      </c>
      <c r="B45" s="18" t="str">
        <f>IF(A45&lt;&gt;"",IFERROR(VLOOKUP(A45,Info!A:I,8,0),""),"")</f>
        <v/>
      </c>
      <c r="C45" s="19" t="str">
        <f>IF(A45&lt;&gt;"",IFERROR(VLOOKUP(A45,Info!A:H,2,0),""),"")</f>
        <v/>
      </c>
      <c r="D45" s="19" t="str">
        <f>IF(A45&lt;&gt;"",IFERROR(VLOOKUP(A45,Info!A:H,3,0),""),"")</f>
        <v/>
      </c>
      <c r="E45" s="19" t="str">
        <f>IF(A45&lt;&gt;"",IFERROR(VLOOKUP(A45,Info!A:H,4,0),""),"")</f>
        <v/>
      </c>
      <c r="F45" s="19" t="str">
        <f>IF(A45&lt;&gt;"",IFERROR(VLOOKUP(A45,Info!A:H,5,0),""),"")</f>
        <v/>
      </c>
      <c r="G45" s="19" t="str">
        <f>IF(A45&lt;&gt;"",IFERROR(VLOOKUP(A45,Info!A:H,6,0),""),"")</f>
        <v/>
      </c>
      <c r="H45" s="19" t="str">
        <f>IF(A45&lt;&gt;"",IFERROR(VLOOKUP(A45,Info!A:H,7,0),""),"")</f>
        <v/>
      </c>
      <c r="I45" s="9"/>
    </row>
    <row r="46" spans="1:9" s="7" customFormat="1" ht="13.5" x14ac:dyDescent="0.25">
      <c r="A46" s="18" t="str">
        <f>IF(A45&lt;COUNT(Info!B:B),A45+1,"")</f>
        <v/>
      </c>
      <c r="B46" s="18" t="str">
        <f>IF(A46&lt;&gt;"",IFERROR(VLOOKUP(A46,Info!A:I,8,0),""),"")</f>
        <v/>
      </c>
      <c r="C46" s="19" t="str">
        <f>IF(A46&lt;&gt;"",IFERROR(VLOOKUP(A46,Info!A:H,2,0),""),"")</f>
        <v/>
      </c>
      <c r="D46" s="19" t="str">
        <f>IF(A46&lt;&gt;"",IFERROR(VLOOKUP(A46,Info!A:H,3,0),""),"")</f>
        <v/>
      </c>
      <c r="E46" s="19" t="str">
        <f>IF(A46&lt;&gt;"",IFERROR(VLOOKUP(A46,Info!A:H,4,0),""),"")</f>
        <v/>
      </c>
      <c r="F46" s="19" t="str">
        <f>IF(A46&lt;&gt;"",IFERROR(VLOOKUP(A46,Info!A:H,5,0),""),"")</f>
        <v/>
      </c>
      <c r="G46" s="19" t="str">
        <f>IF(A46&lt;&gt;"",IFERROR(VLOOKUP(A46,Info!A:H,6,0),""),"")</f>
        <v/>
      </c>
      <c r="H46" s="19" t="str">
        <f>IF(A46&lt;&gt;"",IFERROR(VLOOKUP(A46,Info!A:H,7,0),""),"")</f>
        <v/>
      </c>
      <c r="I46" s="9"/>
    </row>
    <row r="47" spans="1:9" s="7" customFormat="1" ht="13.5" x14ac:dyDescent="0.25">
      <c r="A47" s="18" t="str">
        <f>IF(A46&lt;COUNT(Info!B:B),A46+1,"")</f>
        <v/>
      </c>
      <c r="B47" s="18" t="str">
        <f>IF(A47&lt;&gt;"",IFERROR(VLOOKUP(A47,Info!A:I,8,0),""),"")</f>
        <v/>
      </c>
      <c r="C47" s="19" t="str">
        <f>IF(A47&lt;&gt;"",IFERROR(VLOOKUP(A47,Info!A:H,2,0),""),"")</f>
        <v/>
      </c>
      <c r="D47" s="19" t="str">
        <f>IF(A47&lt;&gt;"",IFERROR(VLOOKUP(A47,Info!A:H,3,0),""),"")</f>
        <v/>
      </c>
      <c r="E47" s="19" t="str">
        <f>IF(A47&lt;&gt;"",IFERROR(VLOOKUP(A47,Info!A:H,4,0),""),"")</f>
        <v/>
      </c>
      <c r="F47" s="19" t="str">
        <f>IF(A47&lt;&gt;"",IFERROR(VLOOKUP(A47,Info!A:H,5,0),""),"")</f>
        <v/>
      </c>
      <c r="G47" s="19" t="str">
        <f>IF(A47&lt;&gt;"",IFERROR(VLOOKUP(A47,Info!A:H,6,0),""),"")</f>
        <v/>
      </c>
      <c r="H47" s="19" t="str">
        <f>IF(A47&lt;&gt;"",IFERROR(VLOOKUP(A47,Info!A:H,7,0),""),"")</f>
        <v/>
      </c>
      <c r="I47" s="9"/>
    </row>
    <row r="48" spans="1:9" s="7" customFormat="1" ht="13.5" x14ac:dyDescent="0.25">
      <c r="A48" s="18" t="str">
        <f>IF(A47&lt;COUNT(Info!B:B),A47+1,"")</f>
        <v/>
      </c>
      <c r="B48" s="18" t="str">
        <f>IF(A48&lt;&gt;"",IFERROR(VLOOKUP(A48,Info!A:I,8,0),""),"")</f>
        <v/>
      </c>
      <c r="C48" s="19" t="str">
        <f>IF(A48&lt;&gt;"",IFERROR(VLOOKUP(A48,Info!A:H,2,0),""),"")</f>
        <v/>
      </c>
      <c r="D48" s="19" t="str">
        <f>IF(A48&lt;&gt;"",IFERROR(VLOOKUP(A48,Info!A:H,3,0),""),"")</f>
        <v/>
      </c>
      <c r="E48" s="19" t="str">
        <f>IF(A48&lt;&gt;"",IFERROR(VLOOKUP(A48,Info!A:H,4,0),""),"")</f>
        <v/>
      </c>
      <c r="F48" s="19" t="str">
        <f>IF(A48&lt;&gt;"",IFERROR(VLOOKUP(A48,Info!A:H,5,0),""),"")</f>
        <v/>
      </c>
      <c r="G48" s="19" t="str">
        <f>IF(A48&lt;&gt;"",IFERROR(VLOOKUP(A48,Info!A:H,6,0),""),"")</f>
        <v/>
      </c>
      <c r="H48" s="19" t="str">
        <f>IF(A48&lt;&gt;"",IFERROR(VLOOKUP(A48,Info!A:H,7,0),""),"")</f>
        <v/>
      </c>
      <c r="I48" s="9"/>
    </row>
    <row r="49" spans="1:9" s="7" customFormat="1" ht="13.5" x14ac:dyDescent="0.25">
      <c r="A49" s="18" t="str">
        <f>IF(A48&lt;COUNT(Info!B:B),A48+1,"")</f>
        <v/>
      </c>
      <c r="B49" s="18" t="str">
        <f>IF(A49&lt;&gt;"",IFERROR(VLOOKUP(A49,Info!A:I,8,0),""),"")</f>
        <v/>
      </c>
      <c r="C49" s="19" t="str">
        <f>IF(A49&lt;&gt;"",IFERROR(VLOOKUP(A49,Info!A:H,2,0),""),"")</f>
        <v/>
      </c>
      <c r="D49" s="19" t="str">
        <f>IF(A49&lt;&gt;"",IFERROR(VLOOKUP(A49,Info!A:H,3,0),""),"")</f>
        <v/>
      </c>
      <c r="E49" s="19" t="str">
        <f>IF(A49&lt;&gt;"",IFERROR(VLOOKUP(A49,Info!A:H,4,0),""),"")</f>
        <v/>
      </c>
      <c r="F49" s="19" t="str">
        <f>IF(A49&lt;&gt;"",IFERROR(VLOOKUP(A49,Info!A:H,5,0),""),"")</f>
        <v/>
      </c>
      <c r="G49" s="19" t="str">
        <f>IF(A49&lt;&gt;"",IFERROR(VLOOKUP(A49,Info!A:H,6,0),""),"")</f>
        <v/>
      </c>
      <c r="H49" s="19" t="str">
        <f>IF(A49&lt;&gt;"",IFERROR(VLOOKUP(A49,Info!A:H,7,0),""),"")</f>
        <v/>
      </c>
      <c r="I49" s="9"/>
    </row>
    <row r="50" spans="1:9" s="7" customFormat="1" ht="13.5" x14ac:dyDescent="0.25">
      <c r="A50" s="18" t="str">
        <f>IF(A49&lt;COUNT(Info!B:B),A49+1,"")</f>
        <v/>
      </c>
      <c r="B50" s="18" t="str">
        <f>IF(A50&lt;&gt;"",IFERROR(VLOOKUP(A50,Info!A:I,8,0),""),"")</f>
        <v/>
      </c>
      <c r="C50" s="19" t="str">
        <f>IF(A50&lt;&gt;"",IFERROR(VLOOKUP(A50,Info!A:H,2,0),""),"")</f>
        <v/>
      </c>
      <c r="D50" s="19" t="str">
        <f>IF(A50&lt;&gt;"",IFERROR(VLOOKUP(A50,Info!A:H,3,0),""),"")</f>
        <v/>
      </c>
      <c r="E50" s="19" t="str">
        <f>IF(A50&lt;&gt;"",IFERROR(VLOOKUP(A50,Info!A:H,4,0),""),"")</f>
        <v/>
      </c>
      <c r="F50" s="19" t="str">
        <f>IF(A50&lt;&gt;"",IFERROR(VLOOKUP(A50,Info!A:H,5,0),""),"")</f>
        <v/>
      </c>
      <c r="G50" s="19" t="str">
        <f>IF(A50&lt;&gt;"",IFERROR(VLOOKUP(A50,Info!A:H,6,0),""),"")</f>
        <v/>
      </c>
      <c r="H50" s="19" t="str">
        <f>IF(A50&lt;&gt;"",IFERROR(VLOOKUP(A50,Info!A:H,7,0),""),"")</f>
        <v/>
      </c>
      <c r="I50" s="9"/>
    </row>
    <row r="51" spans="1:9" s="7" customFormat="1" ht="13.5" x14ac:dyDescent="0.25">
      <c r="A51" s="18" t="str">
        <f>IF(A50&lt;COUNT(Info!B:B),A50+1,"")</f>
        <v/>
      </c>
      <c r="B51" s="18" t="str">
        <f>IF(A51&lt;&gt;"",IFERROR(VLOOKUP(A51,Info!A:I,8,0),""),"")</f>
        <v/>
      </c>
      <c r="C51" s="19" t="str">
        <f>IF(A51&lt;&gt;"",IFERROR(VLOOKUP(A51,Info!A:H,2,0),""),"")</f>
        <v/>
      </c>
      <c r="D51" s="19" t="str">
        <f>IF(A51&lt;&gt;"",IFERROR(VLOOKUP(A51,Info!A:H,3,0),""),"")</f>
        <v/>
      </c>
      <c r="E51" s="19" t="str">
        <f>IF(A51&lt;&gt;"",IFERROR(VLOOKUP(A51,Info!A:H,4,0),""),"")</f>
        <v/>
      </c>
      <c r="F51" s="19" t="str">
        <f>IF(A51&lt;&gt;"",IFERROR(VLOOKUP(A51,Info!A:H,5,0),""),"")</f>
        <v/>
      </c>
      <c r="G51" s="19" t="str">
        <f>IF(A51&lt;&gt;"",IFERROR(VLOOKUP(A51,Info!A:H,6,0),""),"")</f>
        <v/>
      </c>
      <c r="H51" s="19" t="str">
        <f>IF(A51&lt;&gt;"",IFERROR(VLOOKUP(A51,Info!A:H,7,0),""),"")</f>
        <v/>
      </c>
      <c r="I51" s="9"/>
    </row>
    <row r="52" spans="1:9" s="7" customFormat="1" ht="13.5" x14ac:dyDescent="0.25">
      <c r="A52" s="18" t="str">
        <f>IF(A51&lt;COUNT(Info!B:B),A51+1,"")</f>
        <v/>
      </c>
      <c r="B52" s="18" t="str">
        <f>IF(A52&lt;&gt;"",IFERROR(VLOOKUP(A52,Info!A:I,8,0),""),"")</f>
        <v/>
      </c>
      <c r="C52" s="19" t="str">
        <f>IF(A52&lt;&gt;"",IFERROR(VLOOKUP(A52,Info!A:H,2,0),""),"")</f>
        <v/>
      </c>
      <c r="D52" s="19" t="str">
        <f>IF(A52&lt;&gt;"",IFERROR(VLOOKUP(A52,Info!A:H,3,0),""),"")</f>
        <v/>
      </c>
      <c r="E52" s="19" t="str">
        <f>IF(A52&lt;&gt;"",IFERROR(VLOOKUP(A52,Info!A:H,4,0),""),"")</f>
        <v/>
      </c>
      <c r="F52" s="19" t="str">
        <f>IF(A52&lt;&gt;"",IFERROR(VLOOKUP(A52,Info!A:H,5,0),""),"")</f>
        <v/>
      </c>
      <c r="G52" s="19" t="str">
        <f>IF(A52&lt;&gt;"",IFERROR(VLOOKUP(A52,Info!A:H,6,0),""),"")</f>
        <v/>
      </c>
      <c r="H52" s="19" t="str">
        <f>IF(A52&lt;&gt;"",IFERROR(VLOOKUP(A52,Info!A:H,7,0),""),"")</f>
        <v/>
      </c>
      <c r="I52" s="9"/>
    </row>
    <row r="53" spans="1:9" s="7" customFormat="1" ht="13.5" x14ac:dyDescent="0.25">
      <c r="A53" s="18" t="str">
        <f>IF(A52&lt;COUNT(Info!B:B),A52+1,"")</f>
        <v/>
      </c>
      <c r="B53" s="18" t="str">
        <f>IF(A53&lt;&gt;"",IFERROR(VLOOKUP(A53,Info!A:I,8,0),""),"")</f>
        <v/>
      </c>
      <c r="C53" s="19" t="str">
        <f>IF(A53&lt;&gt;"",IFERROR(VLOOKUP(A53,Info!A:H,2,0),""),"")</f>
        <v/>
      </c>
      <c r="D53" s="19" t="str">
        <f>IF(A53&lt;&gt;"",IFERROR(VLOOKUP(A53,Info!A:H,3,0),""),"")</f>
        <v/>
      </c>
      <c r="E53" s="19" t="str">
        <f>IF(A53&lt;&gt;"",IFERROR(VLOOKUP(A53,Info!A:H,4,0),""),"")</f>
        <v/>
      </c>
      <c r="F53" s="19" t="str">
        <f>IF(A53&lt;&gt;"",IFERROR(VLOOKUP(A53,Info!A:H,5,0),""),"")</f>
        <v/>
      </c>
      <c r="G53" s="19" t="str">
        <f>IF(A53&lt;&gt;"",IFERROR(VLOOKUP(A53,Info!A:H,6,0),""),"")</f>
        <v/>
      </c>
      <c r="H53" s="19" t="str">
        <f>IF(A53&lt;&gt;"",IFERROR(VLOOKUP(A53,Info!A:H,7,0),""),"")</f>
        <v/>
      </c>
      <c r="I53" s="9"/>
    </row>
    <row r="54" spans="1:9" s="7" customFormat="1" ht="13.5" x14ac:dyDescent="0.25">
      <c r="A54" s="18" t="str">
        <f>IF(A53&lt;COUNT(Info!B:B),A53+1,"")</f>
        <v/>
      </c>
      <c r="B54" s="18" t="str">
        <f>IF(A54&lt;&gt;"",IFERROR(VLOOKUP(A54,Info!A:I,8,0),""),"")</f>
        <v/>
      </c>
      <c r="C54" s="19" t="str">
        <f>IF(A54&lt;&gt;"",IFERROR(VLOOKUP(A54,Info!A:H,2,0),""),"")</f>
        <v/>
      </c>
      <c r="D54" s="19" t="str">
        <f>IF(A54&lt;&gt;"",IFERROR(VLOOKUP(A54,Info!A:H,3,0),""),"")</f>
        <v/>
      </c>
      <c r="E54" s="19" t="str">
        <f>IF(A54&lt;&gt;"",IFERROR(VLOOKUP(A54,Info!A:H,4,0),""),"")</f>
        <v/>
      </c>
      <c r="F54" s="19" t="str">
        <f>IF(A54&lt;&gt;"",IFERROR(VLOOKUP(A54,Info!A:H,5,0),""),"")</f>
        <v/>
      </c>
      <c r="G54" s="19" t="str">
        <f>IF(A54&lt;&gt;"",IFERROR(VLOOKUP(A54,Info!A:H,6,0),""),"")</f>
        <v/>
      </c>
      <c r="H54" s="19" t="str">
        <f>IF(A54&lt;&gt;"",IFERROR(VLOOKUP(A54,Info!A:H,7,0),""),"")</f>
        <v/>
      </c>
      <c r="I54" s="9"/>
    </row>
    <row r="55" spans="1:9" s="7" customFormat="1" ht="13.5" x14ac:dyDescent="0.25">
      <c r="A55" s="18" t="str">
        <f>IF(A54&lt;COUNT(Info!B:B),A54+1,"")</f>
        <v/>
      </c>
      <c r="B55" s="18" t="str">
        <f>IF(A55&lt;&gt;"",IFERROR(VLOOKUP(A55,Info!A:I,8,0),""),"")</f>
        <v/>
      </c>
      <c r="C55" s="19" t="str">
        <f>IF(A55&lt;&gt;"",IFERROR(VLOOKUP(A55,Info!A:H,2,0),""),"")</f>
        <v/>
      </c>
      <c r="D55" s="19" t="str">
        <f>IF(A55&lt;&gt;"",IFERROR(VLOOKUP(A55,Info!A:H,3,0),""),"")</f>
        <v/>
      </c>
      <c r="E55" s="19" t="str">
        <f>IF(A55&lt;&gt;"",IFERROR(VLOOKUP(A55,Info!A:H,4,0),""),"")</f>
        <v/>
      </c>
      <c r="F55" s="19" t="str">
        <f>IF(A55&lt;&gt;"",IFERROR(VLOOKUP(A55,Info!A:H,5,0),""),"")</f>
        <v/>
      </c>
      <c r="G55" s="19" t="str">
        <f>IF(A55&lt;&gt;"",IFERROR(VLOOKUP(A55,Info!A:H,6,0),""),"")</f>
        <v/>
      </c>
      <c r="H55" s="19" t="str">
        <f>IF(A55&lt;&gt;"",IFERROR(VLOOKUP(A55,Info!A:H,7,0),""),"")</f>
        <v/>
      </c>
      <c r="I55" s="9"/>
    </row>
    <row r="56" spans="1:9" s="7" customFormat="1" ht="13.5" x14ac:dyDescent="0.25">
      <c r="A56" s="18" t="str">
        <f>IF(A55&lt;COUNT(Info!B:B),A55+1,"")</f>
        <v/>
      </c>
      <c r="B56" s="18" t="str">
        <f>IF(A56&lt;&gt;"",IFERROR(VLOOKUP(A56,Info!A:I,8,0),""),"")</f>
        <v/>
      </c>
      <c r="C56" s="19" t="str">
        <f>IF(A56&lt;&gt;"",IFERROR(VLOOKUP(A56,Info!A:H,2,0),""),"")</f>
        <v/>
      </c>
      <c r="D56" s="19" t="str">
        <f>IF(A56&lt;&gt;"",IFERROR(VLOOKUP(A56,Info!A:H,3,0),""),"")</f>
        <v/>
      </c>
      <c r="E56" s="19" t="str">
        <f>IF(A56&lt;&gt;"",IFERROR(VLOOKUP(A56,Info!A:H,4,0),""),"")</f>
        <v/>
      </c>
      <c r="F56" s="19" t="str">
        <f>IF(A56&lt;&gt;"",IFERROR(VLOOKUP(A56,Info!A:H,5,0),""),"")</f>
        <v/>
      </c>
      <c r="G56" s="19" t="str">
        <f>IF(A56&lt;&gt;"",IFERROR(VLOOKUP(A56,Info!A:H,6,0),""),"")</f>
        <v/>
      </c>
      <c r="H56" s="19" t="str">
        <f>IF(A56&lt;&gt;"",IFERROR(VLOOKUP(A56,Info!A:H,7,0),""),"")</f>
        <v/>
      </c>
      <c r="I56" s="9"/>
    </row>
    <row r="57" spans="1:9" s="7" customFormat="1" ht="13.5" x14ac:dyDescent="0.25">
      <c r="A57" s="18" t="str">
        <f>IF(A56&lt;COUNT(Info!B:B),A56+1,"")</f>
        <v/>
      </c>
      <c r="B57" s="18" t="str">
        <f>IF(A57&lt;&gt;"",IFERROR(VLOOKUP(A57,Info!A:I,8,0),""),"")</f>
        <v/>
      </c>
      <c r="C57" s="19" t="str">
        <f>IF(A57&lt;&gt;"",IFERROR(VLOOKUP(A57,Info!A:H,2,0),""),"")</f>
        <v/>
      </c>
      <c r="D57" s="19" t="str">
        <f>IF(A57&lt;&gt;"",IFERROR(VLOOKUP(A57,Info!A:H,3,0),""),"")</f>
        <v/>
      </c>
      <c r="E57" s="19" t="str">
        <f>IF(A57&lt;&gt;"",IFERROR(VLOOKUP(A57,Info!A:H,4,0),""),"")</f>
        <v/>
      </c>
      <c r="F57" s="19" t="str">
        <f>IF(A57&lt;&gt;"",IFERROR(VLOOKUP(A57,Info!A:H,5,0),""),"")</f>
        <v/>
      </c>
      <c r="G57" s="19" t="str">
        <f>IF(A57&lt;&gt;"",IFERROR(VLOOKUP(A57,Info!A:H,6,0),""),"")</f>
        <v/>
      </c>
      <c r="H57" s="19" t="str">
        <f>IF(A57&lt;&gt;"",IFERROR(VLOOKUP(A57,Info!A:H,7,0),""),"")</f>
        <v/>
      </c>
      <c r="I57" s="9"/>
    </row>
    <row r="58" spans="1:9" s="7" customFormat="1" ht="13.5" x14ac:dyDescent="0.25">
      <c r="A58" s="18" t="str">
        <f>IF(A57&lt;COUNT(Info!B:B),A57+1,"")</f>
        <v/>
      </c>
      <c r="B58" s="18" t="str">
        <f>IF(A58&lt;&gt;"",IFERROR(VLOOKUP(A58,Info!A:I,8,0),""),"")</f>
        <v/>
      </c>
      <c r="C58" s="19" t="str">
        <f>IF(A58&lt;&gt;"",IFERROR(VLOOKUP(A58,Info!A:H,2,0),""),"")</f>
        <v/>
      </c>
      <c r="D58" s="19" t="str">
        <f>IF(A58&lt;&gt;"",IFERROR(VLOOKUP(A58,Info!A:H,3,0),""),"")</f>
        <v/>
      </c>
      <c r="E58" s="19" t="str">
        <f>IF(A58&lt;&gt;"",IFERROR(VLOOKUP(A58,Info!A:H,4,0),""),"")</f>
        <v/>
      </c>
      <c r="F58" s="19" t="str">
        <f>IF(A58&lt;&gt;"",IFERROR(VLOOKUP(A58,Info!A:H,5,0),""),"")</f>
        <v/>
      </c>
      <c r="G58" s="19" t="str">
        <f>IF(A58&lt;&gt;"",IFERROR(VLOOKUP(A58,Info!A:H,6,0),""),"")</f>
        <v/>
      </c>
      <c r="H58" s="19" t="str">
        <f>IF(A58&lt;&gt;"",IFERROR(VLOOKUP(A58,Info!A:H,7,0),""),"")</f>
        <v/>
      </c>
      <c r="I58" s="9"/>
    </row>
    <row r="59" spans="1:9" s="7" customFormat="1" ht="13.5" x14ac:dyDescent="0.25">
      <c r="A59" s="18" t="str">
        <f>IF(A58&lt;COUNT(Info!B:B),A58+1,"")</f>
        <v/>
      </c>
      <c r="B59" s="18" t="str">
        <f>IF(A59&lt;&gt;"",IFERROR(VLOOKUP(A59,Info!A:I,8,0),""),"")</f>
        <v/>
      </c>
      <c r="C59" s="19" t="str">
        <f>IF(A59&lt;&gt;"",IFERROR(VLOOKUP(A59,Info!A:H,2,0),""),"")</f>
        <v/>
      </c>
      <c r="D59" s="19" t="str">
        <f>IF(A59&lt;&gt;"",IFERROR(VLOOKUP(A59,Info!A:H,3,0),""),"")</f>
        <v/>
      </c>
      <c r="E59" s="19" t="str">
        <f>IF(A59&lt;&gt;"",IFERROR(VLOOKUP(A59,Info!A:H,4,0),""),"")</f>
        <v/>
      </c>
      <c r="F59" s="19" t="str">
        <f>IF(A59&lt;&gt;"",IFERROR(VLOOKUP(A59,Info!A:H,5,0),""),"")</f>
        <v/>
      </c>
      <c r="G59" s="19" t="str">
        <f>IF(A59&lt;&gt;"",IFERROR(VLOOKUP(A59,Info!A:H,6,0),""),"")</f>
        <v/>
      </c>
      <c r="H59" s="19" t="str">
        <f>IF(A59&lt;&gt;"",IFERROR(VLOOKUP(A59,Info!A:H,7,0),""),"")</f>
        <v/>
      </c>
      <c r="I59" s="9"/>
    </row>
  </sheetData>
  <mergeCells count="4">
    <mergeCell ref="A4:C4"/>
    <mergeCell ref="A1:N1"/>
    <mergeCell ref="A2:N2"/>
    <mergeCell ref="A3:C3"/>
  </mergeCells>
  <conditionalFormatting sqref="A6:B6 A8:A59 B6:B59">
    <cfRule type="notContainsBlanks" dxfId="5" priority="6">
      <formula>LEN(TRIM(A6))&gt;0</formula>
    </cfRule>
  </conditionalFormatting>
  <conditionalFormatting sqref="A7:A59">
    <cfRule type="notContainsBlanks" dxfId="4" priority="5">
      <formula>LEN(TRIM(A7))&gt;0</formula>
    </cfRule>
  </conditionalFormatting>
  <conditionalFormatting sqref="C10:I59 C6:H9">
    <cfRule type="expression" dxfId="3" priority="4">
      <formula>"a5&gt;0"</formula>
    </cfRule>
  </conditionalFormatting>
  <conditionalFormatting sqref="B6:B59">
    <cfRule type="containsText" dxfId="2" priority="1" operator="containsText" text="ARAUCARIA">
      <formula>NOT(ISERROR(SEARCH("ARAUCARIA",B6)))</formula>
    </cfRule>
    <cfRule type="containsText" dxfId="1" priority="2" operator="containsText" text="OLIVO">
      <formula>NOT(ISERROR(SEARCH("OLIVO",B6)))</formula>
    </cfRule>
    <cfRule type="containsText" dxfId="0" priority="3" operator="containsText" text="MAQUILISHUAT">
      <formula>NOT(ISERROR(SEARCH("MAQUILISHUAT",B6)))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baseColWidth="10"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6</v>
      </c>
    </row>
    <row r="2" spans="1:3" x14ac:dyDescent="0.25">
      <c r="A2">
        <v>201</v>
      </c>
      <c r="B2" t="s">
        <v>7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7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8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7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9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7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9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7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8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9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9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9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8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8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8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9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7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7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8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8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7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9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9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8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8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7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8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8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8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8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9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7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7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8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9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7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9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7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9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7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Info</vt:lpstr>
      <vt:lpstr>query</vt:lpstr>
      <vt:lpstr>REPORTE</vt:lpstr>
      <vt:lpstr>DIVISIONES</vt:lpstr>
      <vt:lpstr>Info!DatosExternos_1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Mario</cp:lastModifiedBy>
  <dcterms:created xsi:type="dcterms:W3CDTF">2014-07-21T00:15:53Z</dcterms:created>
  <dcterms:modified xsi:type="dcterms:W3CDTF">2015-04-27T15:43:43Z</dcterms:modified>
</cp:coreProperties>
</file>