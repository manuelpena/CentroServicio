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AppServ\www\CentroServicio\Reportes Excel\"/>
    </mc:Choice>
  </mc:AlternateContent>
  <bookViews>
    <workbookView xWindow="0" yWindow="0" windowWidth="24000" windowHeight="9135" firstSheet="2" activeTab="2"/>
  </bookViews>
  <sheets>
    <sheet name="Info" sheetId="1" state="hidden" r:id="rId1"/>
    <sheet name="query" sheetId="2" state="hidden" r:id="rId2"/>
    <sheet name="REPORTE" sheetId="6" r:id="rId3"/>
    <sheet name="DIVISIONES" sheetId="5" state="hidden" r:id="rId4"/>
  </sheets>
  <definedNames>
    <definedName name="ExternalData_1" localSheetId="0">Info!#REF!</definedName>
    <definedName name="ExternalData_2" localSheetId="0">Info!#REF!</definedName>
    <definedName name="ExternalData_3" localSheetId="0">Info!#REF!</definedName>
    <definedName name="ExternalData_4" localSheetId="0">Info!#REF!</definedName>
    <definedName name="ExternalData_5" localSheetId="0">Info!$B$1:$N$3</definedName>
    <definedName name="_xlnm.Print_Area" localSheetId="2">REPORTE!$A$1:$N$38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2" l="1"/>
  <c r="F8" i="6" l="1"/>
  <c r="A5" i="1"/>
  <c r="A8" i="6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B2" i="2"/>
  <c r="A6" i="1"/>
  <c r="N8" i="6" s="1"/>
  <c r="A7" i="1"/>
  <c r="A8" i="1"/>
  <c r="A9" i="1"/>
  <c r="I8" i="6" s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3" i="1"/>
  <c r="A4" i="1" s="1"/>
  <c r="M8" i="6" l="1"/>
  <c r="B8" i="6"/>
  <c r="C8" i="6"/>
  <c r="H8" i="6"/>
  <c r="D8" i="6"/>
  <c r="E8" i="6"/>
  <c r="G8" i="6" s="1"/>
  <c r="J8" i="6"/>
  <c r="D9" i="6"/>
  <c r="I9" i="6"/>
  <c r="B10" i="6"/>
  <c r="F10" i="6"/>
  <c r="M10" i="6"/>
  <c r="D11" i="6"/>
  <c r="I11" i="6"/>
  <c r="B12" i="6"/>
  <c r="K12" i="6" s="1"/>
  <c r="F12" i="6"/>
  <c r="M12" i="6"/>
  <c r="D13" i="6"/>
  <c r="I13" i="6"/>
  <c r="B14" i="6"/>
  <c r="K14" i="6" s="1"/>
  <c r="F14" i="6"/>
  <c r="M14" i="6"/>
  <c r="D15" i="6"/>
  <c r="I15" i="6"/>
  <c r="B16" i="6"/>
  <c r="K16" i="6" s="1"/>
  <c r="F16" i="6"/>
  <c r="M16" i="6"/>
  <c r="D17" i="6"/>
  <c r="I17" i="6"/>
  <c r="B18" i="6"/>
  <c r="K18" i="6" s="1"/>
  <c r="F18" i="6"/>
  <c r="M18" i="6"/>
  <c r="D19" i="6"/>
  <c r="I19" i="6"/>
  <c r="B20" i="6"/>
  <c r="K20" i="6" s="1"/>
  <c r="F20" i="6"/>
  <c r="M20" i="6"/>
  <c r="D21" i="6"/>
  <c r="I21" i="6"/>
  <c r="B22" i="6"/>
  <c r="K22" i="6" s="1"/>
  <c r="F22" i="6"/>
  <c r="M22" i="6"/>
  <c r="D23" i="6"/>
  <c r="I23" i="6"/>
  <c r="B24" i="6"/>
  <c r="K24" i="6" s="1"/>
  <c r="F24" i="6"/>
  <c r="M24" i="6"/>
  <c r="D25" i="6"/>
  <c r="I25" i="6"/>
  <c r="B26" i="6"/>
  <c r="K26" i="6" s="1"/>
  <c r="F26" i="6"/>
  <c r="M26" i="6"/>
  <c r="D27" i="6"/>
  <c r="I27" i="6"/>
  <c r="B28" i="6"/>
  <c r="K28" i="6" s="1"/>
  <c r="F28" i="6"/>
  <c r="M28" i="6"/>
  <c r="D29" i="6"/>
  <c r="I29" i="6"/>
  <c r="B30" i="6"/>
  <c r="K30" i="6" s="1"/>
  <c r="F30" i="6"/>
  <c r="M30" i="6"/>
  <c r="D31" i="6"/>
  <c r="I31" i="6"/>
  <c r="B32" i="6"/>
  <c r="K32" i="6" s="1"/>
  <c r="F32" i="6"/>
  <c r="M32" i="6"/>
  <c r="D33" i="6"/>
  <c r="I33" i="6"/>
  <c r="B34" i="6"/>
  <c r="K34" i="6" s="1"/>
  <c r="F34" i="6"/>
  <c r="M34" i="6"/>
  <c r="D35" i="6"/>
  <c r="I35" i="6"/>
  <c r="B36" i="6"/>
  <c r="K36" i="6" s="1"/>
  <c r="F36" i="6"/>
  <c r="M36" i="6"/>
  <c r="D37" i="6"/>
  <c r="I37" i="6"/>
  <c r="E9" i="6"/>
  <c r="J9" i="6"/>
  <c r="C10" i="6"/>
  <c r="H10" i="6"/>
  <c r="N10" i="6"/>
  <c r="E11" i="6"/>
  <c r="J11" i="6"/>
  <c r="C12" i="6"/>
  <c r="H12" i="6"/>
  <c r="N12" i="6"/>
  <c r="E13" i="6"/>
  <c r="J13" i="6"/>
  <c r="C14" i="6"/>
  <c r="H14" i="6"/>
  <c r="N14" i="6"/>
  <c r="E15" i="6"/>
  <c r="J15" i="6"/>
  <c r="C16" i="6"/>
  <c r="H16" i="6"/>
  <c r="N16" i="6"/>
  <c r="E17" i="6"/>
  <c r="J17" i="6"/>
  <c r="C18" i="6"/>
  <c r="H18" i="6"/>
  <c r="N18" i="6"/>
  <c r="E19" i="6"/>
  <c r="J19" i="6"/>
  <c r="C20" i="6"/>
  <c r="H20" i="6"/>
  <c r="N20" i="6"/>
  <c r="E21" i="6"/>
  <c r="J21" i="6"/>
  <c r="C22" i="6"/>
  <c r="H22" i="6"/>
  <c r="N22" i="6"/>
  <c r="E23" i="6"/>
  <c r="J23" i="6"/>
  <c r="C24" i="6"/>
  <c r="H24" i="6"/>
  <c r="N24" i="6"/>
  <c r="E25" i="6"/>
  <c r="J25" i="6"/>
  <c r="C26" i="6"/>
  <c r="H26" i="6"/>
  <c r="N26" i="6"/>
  <c r="E27" i="6"/>
  <c r="J27" i="6"/>
  <c r="C28" i="6"/>
  <c r="H28" i="6"/>
  <c r="N28" i="6"/>
  <c r="E29" i="6"/>
  <c r="J29" i="6"/>
  <c r="C30" i="6"/>
  <c r="H30" i="6"/>
  <c r="N30" i="6"/>
  <c r="E31" i="6"/>
  <c r="J31" i="6"/>
  <c r="C32" i="6"/>
  <c r="H32" i="6"/>
  <c r="N32" i="6"/>
  <c r="E33" i="6"/>
  <c r="J33" i="6"/>
  <c r="C34" i="6"/>
  <c r="H34" i="6"/>
  <c r="N34" i="6"/>
  <c r="E35" i="6"/>
  <c r="J35" i="6"/>
  <c r="C36" i="6"/>
  <c r="H36" i="6"/>
  <c r="N36" i="6"/>
  <c r="E37" i="6"/>
  <c r="J37" i="6"/>
  <c r="B9" i="6"/>
  <c r="F9" i="6"/>
  <c r="M9" i="6"/>
  <c r="D10" i="6"/>
  <c r="I10" i="6"/>
  <c r="B11" i="6"/>
  <c r="F11" i="6"/>
  <c r="G11" i="6" s="1"/>
  <c r="M11" i="6"/>
  <c r="D12" i="6"/>
  <c r="I12" i="6"/>
  <c r="B13" i="6"/>
  <c r="K13" i="6" s="1"/>
  <c r="F13" i="6"/>
  <c r="M13" i="6"/>
  <c r="D14" i="6"/>
  <c r="I14" i="6"/>
  <c r="B15" i="6"/>
  <c r="K15" i="6" s="1"/>
  <c r="F15" i="6"/>
  <c r="M15" i="6"/>
  <c r="D16" i="6"/>
  <c r="I16" i="6"/>
  <c r="B17" i="6"/>
  <c r="K17" i="6" s="1"/>
  <c r="F17" i="6"/>
  <c r="M17" i="6"/>
  <c r="D18" i="6"/>
  <c r="I18" i="6"/>
  <c r="B19" i="6"/>
  <c r="K19" i="6" s="1"/>
  <c r="F19" i="6"/>
  <c r="G19" i="6" s="1"/>
  <c r="M19" i="6"/>
  <c r="D20" i="6"/>
  <c r="I20" i="6"/>
  <c r="B21" i="6"/>
  <c r="K21" i="6" s="1"/>
  <c r="F21" i="6"/>
  <c r="M21" i="6"/>
  <c r="D22" i="6"/>
  <c r="I22" i="6"/>
  <c r="B23" i="6"/>
  <c r="K23" i="6" s="1"/>
  <c r="F23" i="6"/>
  <c r="M23" i="6"/>
  <c r="D24" i="6"/>
  <c r="I24" i="6"/>
  <c r="B25" i="6"/>
  <c r="K25" i="6" s="1"/>
  <c r="F25" i="6"/>
  <c r="M25" i="6"/>
  <c r="D26" i="6"/>
  <c r="I26" i="6"/>
  <c r="B27" i="6"/>
  <c r="K27" i="6" s="1"/>
  <c r="F27" i="6"/>
  <c r="G27" i="6" s="1"/>
  <c r="M27" i="6"/>
  <c r="D28" i="6"/>
  <c r="I28" i="6"/>
  <c r="B29" i="6"/>
  <c r="K29" i="6" s="1"/>
  <c r="F29" i="6"/>
  <c r="M29" i="6"/>
  <c r="D30" i="6"/>
  <c r="I30" i="6"/>
  <c r="B31" i="6"/>
  <c r="K31" i="6" s="1"/>
  <c r="F31" i="6"/>
  <c r="M31" i="6"/>
  <c r="D32" i="6"/>
  <c r="I32" i="6"/>
  <c r="B33" i="6"/>
  <c r="K33" i="6" s="1"/>
  <c r="F33" i="6"/>
  <c r="M33" i="6"/>
  <c r="D34" i="6"/>
  <c r="I34" i="6"/>
  <c r="B35" i="6"/>
  <c r="K35" i="6" s="1"/>
  <c r="F35" i="6"/>
  <c r="G35" i="6" s="1"/>
  <c r="M35" i="6"/>
  <c r="D36" i="6"/>
  <c r="I36" i="6"/>
  <c r="B37" i="6"/>
  <c r="K37" i="6" s="1"/>
  <c r="F37" i="6"/>
  <c r="M37" i="6"/>
  <c r="C9" i="6"/>
  <c r="H9" i="6"/>
  <c r="N9" i="6"/>
  <c r="E10" i="6"/>
  <c r="J10" i="6"/>
  <c r="C11" i="6"/>
  <c r="H11" i="6"/>
  <c r="N11" i="6"/>
  <c r="E12" i="6"/>
  <c r="J12" i="6"/>
  <c r="C13" i="6"/>
  <c r="H13" i="6"/>
  <c r="N13" i="6"/>
  <c r="E14" i="6"/>
  <c r="J14" i="6"/>
  <c r="C15" i="6"/>
  <c r="H15" i="6"/>
  <c r="N15" i="6"/>
  <c r="E16" i="6"/>
  <c r="J16" i="6"/>
  <c r="C17" i="6"/>
  <c r="H17" i="6"/>
  <c r="N17" i="6"/>
  <c r="E18" i="6"/>
  <c r="J18" i="6"/>
  <c r="C19" i="6"/>
  <c r="H19" i="6"/>
  <c r="N19" i="6"/>
  <c r="E20" i="6"/>
  <c r="J20" i="6"/>
  <c r="C21" i="6"/>
  <c r="H21" i="6"/>
  <c r="N21" i="6"/>
  <c r="E22" i="6"/>
  <c r="J22" i="6"/>
  <c r="C23" i="6"/>
  <c r="H23" i="6"/>
  <c r="N23" i="6"/>
  <c r="E24" i="6"/>
  <c r="J24" i="6"/>
  <c r="C25" i="6"/>
  <c r="H25" i="6"/>
  <c r="N25" i="6"/>
  <c r="E26" i="6"/>
  <c r="J26" i="6"/>
  <c r="C27" i="6"/>
  <c r="H27" i="6"/>
  <c r="N27" i="6"/>
  <c r="E28" i="6"/>
  <c r="J28" i="6"/>
  <c r="C29" i="6"/>
  <c r="H29" i="6"/>
  <c r="N29" i="6"/>
  <c r="E30" i="6"/>
  <c r="J30" i="6"/>
  <c r="C31" i="6"/>
  <c r="H31" i="6"/>
  <c r="N31" i="6"/>
  <c r="E32" i="6"/>
  <c r="J32" i="6"/>
  <c r="C33" i="6"/>
  <c r="H33" i="6"/>
  <c r="N33" i="6"/>
  <c r="E34" i="6"/>
  <c r="J34" i="6"/>
  <c r="C35" i="6"/>
  <c r="H35" i="6"/>
  <c r="N35" i="6"/>
  <c r="E36" i="6"/>
  <c r="J36" i="6"/>
  <c r="C37" i="6"/>
  <c r="H37" i="6"/>
  <c r="N37" i="6"/>
  <c r="L38" i="6"/>
  <c r="K8" i="6" l="1"/>
  <c r="G33" i="6"/>
  <c r="G25" i="6"/>
  <c r="G17" i="6"/>
  <c r="G37" i="6"/>
  <c r="G29" i="6"/>
  <c r="G21" i="6"/>
  <c r="G13" i="6"/>
  <c r="G9" i="6"/>
  <c r="K10" i="6"/>
  <c r="K11" i="6"/>
  <c r="K9" i="6"/>
  <c r="H38" i="6"/>
  <c r="G15" i="6"/>
  <c r="I38" i="6"/>
  <c r="G31" i="6"/>
  <c r="G23" i="6"/>
  <c r="J38" i="6"/>
  <c r="E38" i="6"/>
  <c r="G34" i="6"/>
  <c r="G26" i="6"/>
  <c r="G18" i="6"/>
  <c r="G10" i="6"/>
  <c r="G32" i="6"/>
  <c r="G24" i="6"/>
  <c r="G16" i="6"/>
  <c r="G30" i="6"/>
  <c r="G22" i="6"/>
  <c r="G14" i="6"/>
  <c r="G36" i="6"/>
  <c r="G28" i="6"/>
  <c r="G20" i="6"/>
  <c r="G12" i="6"/>
  <c r="K38" i="6" l="1"/>
  <c r="G38" i="6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</calcChain>
</file>

<file path=xl/connections.xml><?xml version="1.0" encoding="utf-8"?>
<connections xmlns="http://schemas.openxmlformats.org/spreadsheetml/2006/main">
  <connection id="1" name="Connection" type="1" refreshedVersion="5" background="1" saveData="1">
    <dbPr connection="DSN=EXCELMYSQL;UID=root;PORT=3306;PASSWORD=root;" command="SELECT _x000a_a.`zona`,_x000a_a.`sector`,_x000a_a.`codigo`,_x000a_a.`nombres`,_x000a_b.`cajas`,_x000a_b.`cod`,_x000a_b.`pod`,_x000a_b.`comentarios`,_x000a_c.`solicitante`,_x000a_c.`fecha_despachado`,_x000a_b.`monto_facturado`,_x000a_c.`documento`,_x000a_c.`autorizacion`_x000a_FROM _x000a_consejeras  a_x000a_ INNER JOIN pedidos b ON b.`codigo`  = a.`codigo`  INNER JOIN solicitudes c ON c.`pedido_id` = b.id _x000a_WHERE c.`tipo_solicitud` = 1 AND DATE(c.`fecha_despachado`) = '2015-04-26' AND  a.zona = 227 AND b.campania = 1 order by c.fecha_creado"/>
  </connection>
</connections>
</file>

<file path=xl/sharedStrings.xml><?xml version="1.0" encoding="utf-8"?>
<sst xmlns="http://schemas.openxmlformats.org/spreadsheetml/2006/main" count="83" uniqueCount="44">
  <si>
    <t>query</t>
  </si>
  <si>
    <t>ZONA</t>
  </si>
  <si>
    <t>CODIGO</t>
  </si>
  <si>
    <t>DIVISION</t>
  </si>
  <si>
    <t>OLIVO</t>
  </si>
  <si>
    <t>MAQUILISHUAT</t>
  </si>
  <si>
    <t>ARAUCARIA</t>
  </si>
  <si>
    <t>CAMPAÑA</t>
  </si>
  <si>
    <t>CENTRO DE SERVICIO -  AVON</t>
  </si>
  <si>
    <t>S</t>
  </si>
  <si>
    <t>FECHA</t>
  </si>
  <si>
    <t>DESDE</t>
  </si>
  <si>
    <t>HASTA</t>
  </si>
  <si>
    <t>Nº</t>
  </si>
  <si>
    <t>SEC</t>
  </si>
  <si>
    <t>NOMBRE CONSEJERA</t>
  </si>
  <si>
    <t>CAJA</t>
  </si>
  <si>
    <t>OBSERVACIONES</t>
  </si>
  <si>
    <t>BULTOS</t>
  </si>
  <si>
    <t>COD</t>
  </si>
  <si>
    <t>POD</t>
  </si>
  <si>
    <t>AUTO</t>
  </si>
  <si>
    <t>TOTAL</t>
  </si>
  <si>
    <t>IMPRESO POR:</t>
  </si>
  <si>
    <t>"NOMBRE OPERADOR"</t>
  </si>
  <si>
    <t>codigo</t>
  </si>
  <si>
    <t>zona</t>
  </si>
  <si>
    <t>sector</t>
  </si>
  <si>
    <t>nombres</t>
  </si>
  <si>
    <t>cajas</t>
  </si>
  <si>
    <t>cod</t>
  </si>
  <si>
    <t>pod</t>
  </si>
  <si>
    <t>comentarios</t>
  </si>
  <si>
    <t>solicitante</t>
  </si>
  <si>
    <t>fecha_despachado</t>
  </si>
  <si>
    <t>CORRELATIVO</t>
  </si>
  <si>
    <t>autorizacion</t>
  </si>
  <si>
    <t>monto_facturado</t>
  </si>
  <si>
    <t>BODEGAJE</t>
  </si>
  <si>
    <t>RETIRADO POR</t>
  </si>
  <si>
    <t>N° DUI</t>
  </si>
  <si>
    <t>RETIRO DE PEDIDOS POR CONSEJERA</t>
  </si>
  <si>
    <t>documento</t>
  </si>
  <si>
    <t>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</si>
</sst>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(&quot;$&quot;* #,##0.00_);_(&quot;$&quot;* \(#,##0.00\);_(&quot;$&quot;* &quot;-&quot;??_);_(@_)"/>
    <numFmt numFmtId="164" formatCode="0#"/>
    <numFmt numFmtId="165" formatCode="_([$$-440A]* #,##0.00_);_([$$-440A]* \(#,##0.00\);_([$$-440A]* &quot;-&quot;??_);_(@_)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entury Gothic"/>
      <family val="2"/>
    </font>
    <font>
      <sz val="10"/>
      <color theme="0"/>
      <name val="Century Gothic"/>
      <family val="2"/>
    </font>
    <font>
      <sz val="10"/>
      <color theme="1"/>
      <name val="Century Gothic"/>
      <family val="2"/>
    </font>
    <font>
      <sz val="10"/>
      <name val="Century Gothic"/>
      <family val="2"/>
    </font>
    <font>
      <sz val="10"/>
      <name val="Arial"/>
      <family val="2"/>
    </font>
    <font>
      <sz val="18"/>
      <name val="Century Gothic"/>
      <family val="2"/>
    </font>
    <font>
      <i/>
      <sz val="10"/>
      <name val="Century Gothic"/>
      <family val="2"/>
    </font>
    <font>
      <sz val="14"/>
      <color theme="1"/>
      <name val="Century Gothic"/>
      <family val="2"/>
    </font>
    <font>
      <b/>
      <sz val="10"/>
      <name val="Century Gothic"/>
      <family val="2"/>
    </font>
    <font>
      <sz val="8"/>
      <color theme="1"/>
      <name val="Century Gothic"/>
      <family val="2"/>
    </font>
    <font>
      <b/>
      <sz val="11"/>
      <color theme="1"/>
      <name val="Century Gothic"/>
      <family val="2"/>
    </font>
    <font>
      <sz val="11"/>
      <color theme="0"/>
      <name val="Century Gothic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medium">
        <color theme="2" tint="-0.249977111117893"/>
      </left>
      <right/>
      <top style="medium">
        <color theme="2" tint="-0.249977111117893"/>
      </top>
      <bottom style="medium">
        <color theme="2" tint="-0.249977111117893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/>
      <right style="medium">
        <color theme="2" tint="-0.249977111117893"/>
      </right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0" fontId="7" fillId="0" borderId="0"/>
  </cellStyleXfs>
  <cellXfs count="65">
    <xf numFmtId="0" fontId="0" fillId="0" borderId="0" xfId="0"/>
    <xf numFmtId="0" fontId="1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3" fillId="2" borderId="0" xfId="0" applyFont="1" applyFill="1"/>
    <xf numFmtId="0" fontId="3" fillId="0" borderId="0" xfId="0" applyFont="1"/>
    <xf numFmtId="0" fontId="5" fillId="2" borderId="0" xfId="0" applyFont="1" applyFill="1"/>
    <xf numFmtId="0" fontId="4" fillId="0" borderId="0" xfId="2" applyFont="1" applyAlignment="1" applyProtection="1">
      <alignment horizontal="center" vertical="center"/>
      <protection locked="0"/>
    </xf>
    <xf numFmtId="0" fontId="6" fillId="0" borderId="0" xfId="2" applyFont="1" applyAlignment="1" applyProtection="1">
      <alignment horizontal="center" vertical="center"/>
      <protection locked="0"/>
    </xf>
    <xf numFmtId="0" fontId="6" fillId="0" borderId="0" xfId="2" applyFont="1" applyBorder="1" applyAlignment="1" applyProtection="1">
      <alignment horizontal="center" vertical="center"/>
      <protection locked="0"/>
    </xf>
    <xf numFmtId="22" fontId="0" fillId="0" borderId="0" xfId="0" applyNumberFormat="1"/>
    <xf numFmtId="0" fontId="10" fillId="2" borderId="0" xfId="0" applyFont="1" applyFill="1"/>
    <xf numFmtId="44" fontId="6" fillId="0" borderId="0" xfId="1" applyFont="1" applyAlignment="1" applyProtection="1">
      <alignment horizontal="center" vertical="center"/>
      <protection locked="0"/>
    </xf>
    <xf numFmtId="44" fontId="6" fillId="0" borderId="0" xfId="1" applyFont="1" applyBorder="1" applyAlignment="1" applyProtection="1">
      <alignment horizontal="center" vertical="center"/>
      <protection locked="0"/>
    </xf>
    <xf numFmtId="14" fontId="4" fillId="0" borderId="0" xfId="2" applyNumberFormat="1" applyFont="1" applyAlignment="1" applyProtection="1">
      <alignment horizontal="center" vertical="center"/>
      <protection locked="0"/>
    </xf>
    <xf numFmtId="44" fontId="6" fillId="0" borderId="0" xfId="2" applyNumberFormat="1" applyFont="1" applyAlignment="1" applyProtection="1">
      <alignment horizontal="center" vertical="center"/>
      <protection locked="0"/>
    </xf>
    <xf numFmtId="0" fontId="6" fillId="0" borderId="4" xfId="2" applyFont="1" applyFill="1" applyBorder="1" applyAlignment="1" applyProtection="1">
      <alignment horizontal="center" vertical="center"/>
    </xf>
    <xf numFmtId="164" fontId="6" fillId="0" borderId="4" xfId="2" applyNumberFormat="1" applyFont="1" applyFill="1" applyBorder="1" applyAlignment="1" applyProtection="1">
      <alignment horizontal="center" vertical="center"/>
    </xf>
    <xf numFmtId="0" fontId="5" fillId="0" borderId="4" xfId="2" applyFont="1" applyFill="1" applyBorder="1" applyAlignment="1" applyProtection="1">
      <alignment horizontal="center" vertical="center"/>
    </xf>
    <xf numFmtId="44" fontId="6" fillId="0" borderId="4" xfId="2" applyNumberFormat="1" applyFont="1" applyFill="1" applyBorder="1" applyAlignment="1" applyProtection="1">
      <alignment horizontal="center" vertical="center"/>
    </xf>
    <xf numFmtId="165" fontId="6" fillId="0" borderId="4" xfId="2" applyNumberFormat="1" applyFont="1" applyFill="1" applyBorder="1" applyAlignment="1" applyProtection="1">
      <alignment horizontal="center" vertical="center"/>
    </xf>
    <xf numFmtId="44" fontId="6" fillId="0" borderId="4" xfId="1" applyFont="1" applyFill="1" applyBorder="1" applyAlignment="1" applyProtection="1">
      <alignment horizontal="center" vertical="center"/>
    </xf>
    <xf numFmtId="0" fontId="6" fillId="0" borderId="4" xfId="2" applyNumberFormat="1" applyFont="1" applyFill="1" applyBorder="1" applyAlignment="1" applyProtection="1">
      <alignment horizontal="center" vertical="center"/>
    </xf>
    <xf numFmtId="0" fontId="11" fillId="0" borderId="4" xfId="2" applyFont="1" applyFill="1" applyBorder="1" applyAlignment="1" applyProtection="1">
      <alignment horizontal="center" vertical="center"/>
      <protection locked="0"/>
    </xf>
    <xf numFmtId="0" fontId="6" fillId="0" borderId="4" xfId="2" applyFont="1" applyFill="1" applyBorder="1" applyAlignment="1" applyProtection="1">
      <alignment horizontal="center" vertical="center"/>
      <protection locked="0"/>
    </xf>
    <xf numFmtId="0" fontId="3" fillId="2" borderId="0" xfId="0" applyFont="1" applyFill="1" applyBorder="1" applyAlignment="1"/>
    <xf numFmtId="44" fontId="3" fillId="2" borderId="0" xfId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3" fillId="2" borderId="0" xfId="0" applyFont="1" applyFill="1" applyBorder="1"/>
    <xf numFmtId="0" fontId="5" fillId="0" borderId="0" xfId="0" applyFont="1" applyFill="1" applyBorder="1" applyAlignment="1"/>
    <xf numFmtId="44" fontId="5" fillId="0" borderId="0" xfId="1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5" fillId="0" borderId="0" xfId="0" applyFont="1" applyFill="1" applyBorder="1"/>
    <xf numFmtId="0" fontId="13" fillId="0" borderId="0" xfId="0" applyFont="1" applyFill="1" applyBorder="1" applyAlignment="1">
      <alignment horizontal="center"/>
    </xf>
    <xf numFmtId="0" fontId="3" fillId="0" borderId="0" xfId="0" applyFont="1" applyFill="1" applyBorder="1" applyAlignment="1"/>
    <xf numFmtId="44" fontId="3" fillId="0" borderId="0" xfId="1" applyFont="1" applyFill="1" applyBorder="1" applyAlignment="1">
      <alignment horizontal="center"/>
    </xf>
    <xf numFmtId="0" fontId="3" fillId="0" borderId="0" xfId="0" applyFont="1" applyFill="1" applyBorder="1"/>
    <xf numFmtId="0" fontId="14" fillId="0" borderId="0" xfId="0" applyFont="1" applyFill="1" applyBorder="1" applyAlignment="1">
      <alignment horizontal="center"/>
    </xf>
    <xf numFmtId="0" fontId="13" fillId="2" borderId="0" xfId="0" applyFont="1" applyFill="1" applyAlignment="1">
      <alignment horizontal="center"/>
    </xf>
    <xf numFmtId="0" fontId="3" fillId="0" borderId="0" xfId="0" applyFont="1" applyBorder="1"/>
    <xf numFmtId="0" fontId="14" fillId="0" borderId="0" xfId="0" applyFont="1" applyFill="1" applyBorder="1"/>
    <xf numFmtId="44" fontId="3" fillId="0" borderId="0" xfId="1" applyFont="1" applyBorder="1"/>
    <xf numFmtId="44" fontId="3" fillId="0" borderId="0" xfId="1" applyFont="1"/>
    <xf numFmtId="0" fontId="3" fillId="0" borderId="0" xfId="0" applyFont="1" applyFill="1"/>
    <xf numFmtId="0" fontId="0" fillId="0" borderId="0" xfId="0" applyAlignment="1">
      <alignment vertical="top" wrapText="1"/>
    </xf>
    <xf numFmtId="0" fontId="6" fillId="0" borderId="4" xfId="2" applyFont="1" applyFill="1" applyBorder="1" applyAlignment="1" applyProtection="1">
      <alignment horizontal="center" vertical="center" wrapText="1"/>
    </xf>
    <xf numFmtId="0" fontId="6" fillId="0" borderId="4" xfId="2" applyFont="1" applyFill="1" applyBorder="1" applyAlignment="1" applyProtection="1">
      <alignment horizontal="center" vertical="center"/>
    </xf>
    <xf numFmtId="0" fontId="6" fillId="0" borderId="4" xfId="2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>
      <alignment horizontal="center"/>
    </xf>
    <xf numFmtId="0" fontId="12" fillId="0" borderId="0" xfId="0" applyFont="1" applyFill="1" applyBorder="1" applyAlignment="1">
      <alignment horizontal="left"/>
    </xf>
    <xf numFmtId="44" fontId="6" fillId="0" borderId="4" xfId="2" applyNumberFormat="1" applyFont="1" applyFill="1" applyBorder="1" applyAlignment="1" applyProtection="1">
      <alignment horizontal="center" vertical="center" wrapText="1"/>
    </xf>
    <xf numFmtId="0" fontId="6" fillId="0" borderId="4" xfId="2" applyFont="1" applyFill="1" applyBorder="1" applyAlignment="1" applyProtection="1">
      <alignment horizontal="center" vertical="center" wrapText="1"/>
      <protection locked="0"/>
    </xf>
    <xf numFmtId="0" fontId="14" fillId="0" borderId="0" xfId="0" applyFont="1" applyFill="1" applyBorder="1" applyAlignment="1">
      <alignment horizontal="center"/>
    </xf>
    <xf numFmtId="44" fontId="6" fillId="0" borderId="4" xfId="1" applyFont="1" applyFill="1" applyBorder="1" applyAlignment="1" applyProtection="1">
      <alignment horizontal="center" vertical="center" wrapText="1"/>
      <protection locked="0"/>
    </xf>
    <xf numFmtId="0" fontId="6" fillId="0" borderId="0" xfId="2" applyFont="1" applyAlignment="1" applyProtection="1">
      <alignment horizontal="center" vertical="center"/>
      <protection locked="0"/>
    </xf>
    <xf numFmtId="0" fontId="6" fillId="0" borderId="0" xfId="2" applyFont="1" applyBorder="1" applyAlignment="1" applyProtection="1">
      <alignment horizontal="center" vertical="center"/>
      <protection locked="0"/>
    </xf>
    <xf numFmtId="0" fontId="8" fillId="0" borderId="0" xfId="2" applyFont="1" applyAlignment="1" applyProtection="1">
      <alignment horizontal="center" vertical="center"/>
    </xf>
    <xf numFmtId="14" fontId="6" fillId="0" borderId="1" xfId="2" applyNumberFormat="1" applyFont="1" applyBorder="1" applyAlignment="1" applyProtection="1">
      <alignment horizontal="center" vertical="center"/>
      <protection locked="0"/>
    </xf>
    <xf numFmtId="14" fontId="6" fillId="0" borderId="2" xfId="2" applyNumberFormat="1" applyFont="1" applyBorder="1" applyAlignment="1" applyProtection="1">
      <alignment horizontal="center" vertical="center"/>
      <protection locked="0"/>
    </xf>
    <xf numFmtId="14" fontId="6" fillId="0" borderId="3" xfId="2" applyNumberFormat="1" applyFont="1" applyBorder="1" applyAlignment="1" applyProtection="1">
      <alignment horizontal="center" vertical="center"/>
      <protection locked="0"/>
    </xf>
    <xf numFmtId="0" fontId="9" fillId="0" borderId="1" xfId="2" applyNumberFormat="1" applyFont="1" applyBorder="1" applyAlignment="1" applyProtection="1">
      <alignment horizontal="center" vertical="center"/>
    </xf>
    <xf numFmtId="0" fontId="9" fillId="0" borderId="3" xfId="2" applyNumberFormat="1" applyFont="1" applyBorder="1" applyAlignment="1" applyProtection="1">
      <alignment horizontal="center" vertical="center"/>
    </xf>
    <xf numFmtId="49" fontId="6" fillId="0" borderId="1" xfId="2" applyNumberFormat="1" applyFont="1" applyBorder="1" applyAlignment="1" applyProtection="1">
      <alignment horizontal="center" vertical="center"/>
      <protection locked="0"/>
    </xf>
    <xf numFmtId="49" fontId="6" fillId="0" borderId="3" xfId="2" applyNumberFormat="1" applyFont="1" applyBorder="1" applyAlignment="1" applyProtection="1">
      <alignment horizontal="center" vertical="center"/>
      <protection locked="0"/>
    </xf>
  </cellXfs>
  <cellStyles count="3">
    <cellStyle name="Currency" xfId="1" builtinId="4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404040"/>
      <color rgb="FF414141"/>
      <color rgb="FF0072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889000</xdr:colOff>
      <xdr:row>0</xdr:row>
      <xdr:rowOff>0</xdr:rowOff>
    </xdr:from>
    <xdr:to>
      <xdr:col>14</xdr:col>
      <xdr:colOff>83547</xdr:colOff>
      <xdr:row>1</xdr:row>
      <xdr:rowOff>83559</xdr:rowOff>
    </xdr:to>
    <xdr:pic macro="[0]!Sheet1.SQLQuery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874500" y="0"/>
          <a:ext cx="485714" cy="390476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ExternalData_5" connectionId="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zona"/>
      <queryTableField id="2" name="sector"/>
      <queryTableField id="3" name="codigo"/>
      <queryTableField id="4" name="nombres"/>
      <queryTableField id="5" name="cajas"/>
      <queryTableField id="6" name="cod"/>
      <queryTableField id="7" name="pod"/>
      <queryTableField id="8" name="comentarios"/>
      <queryTableField id="9" name="solicitante"/>
      <queryTableField id="10" name="fecha_despachado"/>
      <queryTableField id="11" name="monto_facturado"/>
      <queryTableField id="12" name="documento"/>
      <queryTableField id="13" name="autorizacion"/>
    </queryTableFields>
  </queryTableRefresh>
</query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243"/>
  <sheetViews>
    <sheetView workbookViewId="0">
      <selection activeCell="A5" sqref="A5"/>
    </sheetView>
  </sheetViews>
  <sheetFormatPr defaultColWidth="9.140625" defaultRowHeight="15" x14ac:dyDescent="0.25"/>
  <cols>
    <col min="2" max="2" width="5.140625" customWidth="1"/>
    <col min="3" max="3" width="6.42578125" customWidth="1"/>
    <col min="4" max="4" width="6.85546875" customWidth="1"/>
    <col min="5" max="5" width="8.85546875" customWidth="1"/>
    <col min="6" max="6" width="5.28515625" customWidth="1"/>
    <col min="7" max="7" width="4.140625" customWidth="1"/>
    <col min="8" max="8" width="4.42578125" customWidth="1"/>
    <col min="9" max="9" width="12" bestFit="1" customWidth="1"/>
    <col min="10" max="10" width="10.28515625" bestFit="1" customWidth="1"/>
    <col min="11" max="11" width="17.7109375" customWidth="1"/>
    <col min="12" max="12" width="16.42578125" customWidth="1"/>
    <col min="13" max="13" width="11.140625" customWidth="1"/>
    <col min="14" max="14" width="11.85546875" customWidth="1"/>
  </cols>
  <sheetData>
    <row r="1" spans="1:14" x14ac:dyDescent="0.25">
      <c r="A1" t="s">
        <v>35</v>
      </c>
      <c r="B1" s="1" t="s">
        <v>26</v>
      </c>
      <c r="C1" s="1" t="s">
        <v>27</v>
      </c>
      <c r="D1" s="1" t="s">
        <v>25</v>
      </c>
      <c r="E1" s="1" t="s">
        <v>28</v>
      </c>
      <c r="F1" s="1" t="s">
        <v>29</v>
      </c>
      <c r="G1" s="1" t="s">
        <v>30</v>
      </c>
      <c r="H1" s="1" t="s">
        <v>31</v>
      </c>
      <c r="I1" s="1" t="s">
        <v>32</v>
      </c>
      <c r="J1" s="1" t="s">
        <v>33</v>
      </c>
      <c r="K1" s="1" t="s">
        <v>34</v>
      </c>
      <c r="L1" s="1" t="s">
        <v>37</v>
      </c>
      <c r="M1" s="1" t="s">
        <v>42</v>
      </c>
      <c r="N1" s="1" t="s">
        <v>36</v>
      </c>
    </row>
    <row r="2" spans="1:14" x14ac:dyDescent="0.25">
      <c r="A2">
        <v>1</v>
      </c>
      <c r="K2" s="10"/>
      <c r="L2" s="10"/>
    </row>
    <row r="3" spans="1:14" x14ac:dyDescent="0.25">
      <c r="A3" t="str">
        <f>IF(B3&gt;0,A2+1,"")</f>
        <v/>
      </c>
      <c r="K3" s="10"/>
      <c r="L3" s="10"/>
    </row>
    <row r="4" spans="1:14" x14ac:dyDescent="0.25">
      <c r="A4" t="str">
        <f t="shared" ref="A4:A67" si="0">IF(B4&gt;0,A3+1,"")</f>
        <v/>
      </c>
      <c r="L4" s="10"/>
    </row>
    <row r="5" spans="1:14" x14ac:dyDescent="0.25">
      <c r="A5" t="str">
        <f t="shared" si="0"/>
        <v/>
      </c>
      <c r="L5" s="10"/>
    </row>
    <row r="6" spans="1:14" x14ac:dyDescent="0.25">
      <c r="A6" t="str">
        <f t="shared" si="0"/>
        <v/>
      </c>
      <c r="L6" s="10"/>
    </row>
    <row r="7" spans="1:14" x14ac:dyDescent="0.25">
      <c r="A7" t="str">
        <f t="shared" si="0"/>
        <v/>
      </c>
      <c r="L7" s="10"/>
    </row>
    <row r="8" spans="1:14" x14ac:dyDescent="0.25">
      <c r="A8" t="str">
        <f t="shared" si="0"/>
        <v/>
      </c>
      <c r="L8" s="10"/>
    </row>
    <row r="9" spans="1:14" x14ac:dyDescent="0.25">
      <c r="A9" t="str">
        <f t="shared" si="0"/>
        <v/>
      </c>
      <c r="L9" s="10"/>
    </row>
    <row r="10" spans="1:14" x14ac:dyDescent="0.25">
      <c r="A10" t="str">
        <f t="shared" si="0"/>
        <v/>
      </c>
      <c r="L10" s="10"/>
    </row>
    <row r="11" spans="1:14" x14ac:dyDescent="0.25">
      <c r="A11" t="str">
        <f t="shared" si="0"/>
        <v/>
      </c>
      <c r="L11" s="10"/>
    </row>
    <row r="12" spans="1:14" x14ac:dyDescent="0.25">
      <c r="A12" t="str">
        <f t="shared" si="0"/>
        <v/>
      </c>
      <c r="L12" s="10"/>
    </row>
    <row r="13" spans="1:14" x14ac:dyDescent="0.25">
      <c r="A13" t="str">
        <f t="shared" si="0"/>
        <v/>
      </c>
      <c r="L13" s="10"/>
    </row>
    <row r="14" spans="1:14" x14ac:dyDescent="0.25">
      <c r="A14" t="str">
        <f t="shared" si="0"/>
        <v/>
      </c>
      <c r="L14" s="10"/>
    </row>
    <row r="15" spans="1:14" x14ac:dyDescent="0.25">
      <c r="A15" t="str">
        <f t="shared" si="0"/>
        <v/>
      </c>
      <c r="L15" s="10"/>
    </row>
    <row r="16" spans="1:14" x14ac:dyDescent="0.25">
      <c r="A16" t="str">
        <f t="shared" si="0"/>
        <v/>
      </c>
      <c r="L16" s="10"/>
    </row>
    <row r="17" spans="1:12" x14ac:dyDescent="0.25">
      <c r="A17" t="str">
        <f t="shared" si="0"/>
        <v/>
      </c>
      <c r="L17" s="10"/>
    </row>
    <row r="18" spans="1:12" x14ac:dyDescent="0.25">
      <c r="A18" t="str">
        <f t="shared" si="0"/>
        <v/>
      </c>
      <c r="L18" s="10"/>
    </row>
    <row r="19" spans="1:12" x14ac:dyDescent="0.25">
      <c r="A19" t="str">
        <f t="shared" si="0"/>
        <v/>
      </c>
      <c r="L19" s="10"/>
    </row>
    <row r="20" spans="1:12" x14ac:dyDescent="0.25">
      <c r="A20" t="str">
        <f t="shared" si="0"/>
        <v/>
      </c>
      <c r="L20" s="10"/>
    </row>
    <row r="21" spans="1:12" x14ac:dyDescent="0.25">
      <c r="A21" t="str">
        <f t="shared" si="0"/>
        <v/>
      </c>
      <c r="L21" s="10"/>
    </row>
    <row r="22" spans="1:12" x14ac:dyDescent="0.25">
      <c r="A22" t="str">
        <f t="shared" si="0"/>
        <v/>
      </c>
      <c r="L22" s="10"/>
    </row>
    <row r="23" spans="1:12" x14ac:dyDescent="0.25">
      <c r="A23" t="str">
        <f t="shared" si="0"/>
        <v/>
      </c>
      <c r="L23" s="10"/>
    </row>
    <row r="24" spans="1:12" x14ac:dyDescent="0.25">
      <c r="A24" t="str">
        <f t="shared" si="0"/>
        <v/>
      </c>
      <c r="L24" s="10"/>
    </row>
    <row r="25" spans="1:12" x14ac:dyDescent="0.25">
      <c r="A25" t="str">
        <f t="shared" si="0"/>
        <v/>
      </c>
      <c r="L25" s="10"/>
    </row>
    <row r="26" spans="1:12" x14ac:dyDescent="0.25">
      <c r="A26" t="str">
        <f t="shared" si="0"/>
        <v/>
      </c>
      <c r="L26" s="10"/>
    </row>
    <row r="27" spans="1:12" x14ac:dyDescent="0.25">
      <c r="A27" t="str">
        <f t="shared" si="0"/>
        <v/>
      </c>
      <c r="L27" s="10"/>
    </row>
    <row r="28" spans="1:12" x14ac:dyDescent="0.25">
      <c r="A28" t="str">
        <f t="shared" si="0"/>
        <v/>
      </c>
      <c r="L28" s="10"/>
    </row>
    <row r="29" spans="1:12" x14ac:dyDescent="0.25">
      <c r="A29" t="str">
        <f t="shared" si="0"/>
        <v/>
      </c>
      <c r="L29" s="10"/>
    </row>
    <row r="30" spans="1:12" x14ac:dyDescent="0.25">
      <c r="A30" t="str">
        <f t="shared" si="0"/>
        <v/>
      </c>
      <c r="L30" s="10"/>
    </row>
    <row r="31" spans="1:12" x14ac:dyDescent="0.25">
      <c r="A31" t="str">
        <f t="shared" si="0"/>
        <v/>
      </c>
      <c r="L31" s="10"/>
    </row>
    <row r="32" spans="1:12" x14ac:dyDescent="0.25">
      <c r="A32" t="str">
        <f t="shared" si="0"/>
        <v/>
      </c>
      <c r="L32" s="10"/>
    </row>
    <row r="33" spans="1:12" x14ac:dyDescent="0.25">
      <c r="A33" t="str">
        <f t="shared" si="0"/>
        <v/>
      </c>
      <c r="L33" s="10"/>
    </row>
    <row r="34" spans="1:12" x14ac:dyDescent="0.25">
      <c r="A34" t="str">
        <f t="shared" si="0"/>
        <v/>
      </c>
      <c r="L34" s="10"/>
    </row>
    <row r="35" spans="1:12" x14ac:dyDescent="0.25">
      <c r="A35" t="str">
        <f t="shared" si="0"/>
        <v/>
      </c>
      <c r="L35" s="10"/>
    </row>
    <row r="36" spans="1:12" x14ac:dyDescent="0.25">
      <c r="A36" t="str">
        <f t="shared" si="0"/>
        <v/>
      </c>
      <c r="L36" s="10"/>
    </row>
    <row r="37" spans="1:12" x14ac:dyDescent="0.25">
      <c r="A37" t="str">
        <f t="shared" si="0"/>
        <v/>
      </c>
      <c r="L37" s="10"/>
    </row>
    <row r="38" spans="1:12" x14ac:dyDescent="0.25">
      <c r="A38" t="str">
        <f t="shared" si="0"/>
        <v/>
      </c>
      <c r="L38" s="10"/>
    </row>
    <row r="39" spans="1:12" x14ac:dyDescent="0.25">
      <c r="A39" t="str">
        <f t="shared" si="0"/>
        <v/>
      </c>
      <c r="L39" s="10"/>
    </row>
    <row r="40" spans="1:12" x14ac:dyDescent="0.25">
      <c r="A40" t="str">
        <f t="shared" si="0"/>
        <v/>
      </c>
      <c r="L40" s="10"/>
    </row>
    <row r="41" spans="1:12" x14ac:dyDescent="0.25">
      <c r="A41" t="str">
        <f t="shared" si="0"/>
        <v/>
      </c>
      <c r="L41" s="10"/>
    </row>
    <row r="42" spans="1:12" x14ac:dyDescent="0.25">
      <c r="A42" t="str">
        <f t="shared" si="0"/>
        <v/>
      </c>
      <c r="L42" s="10"/>
    </row>
    <row r="43" spans="1:12" x14ac:dyDescent="0.25">
      <c r="A43" t="str">
        <f t="shared" si="0"/>
        <v/>
      </c>
      <c r="L43" s="10"/>
    </row>
    <row r="44" spans="1:12" x14ac:dyDescent="0.25">
      <c r="A44" t="str">
        <f t="shared" si="0"/>
        <v/>
      </c>
      <c r="L44" s="10"/>
    </row>
    <row r="45" spans="1:12" x14ac:dyDescent="0.25">
      <c r="A45" t="str">
        <f t="shared" si="0"/>
        <v/>
      </c>
      <c r="L45" s="10"/>
    </row>
    <row r="46" spans="1:12" x14ac:dyDescent="0.25">
      <c r="A46" t="str">
        <f t="shared" si="0"/>
        <v/>
      </c>
      <c r="L46" s="10"/>
    </row>
    <row r="47" spans="1:12" x14ac:dyDescent="0.25">
      <c r="A47" t="str">
        <f t="shared" si="0"/>
        <v/>
      </c>
      <c r="L47" s="10"/>
    </row>
    <row r="48" spans="1:12" x14ac:dyDescent="0.25">
      <c r="A48" t="str">
        <f t="shared" si="0"/>
        <v/>
      </c>
      <c r="L48" s="10"/>
    </row>
    <row r="49" spans="1:12" x14ac:dyDescent="0.25">
      <c r="A49" t="str">
        <f t="shared" si="0"/>
        <v/>
      </c>
      <c r="L49" s="10"/>
    </row>
    <row r="50" spans="1:12" x14ac:dyDescent="0.25">
      <c r="A50" t="str">
        <f t="shared" si="0"/>
        <v/>
      </c>
      <c r="L50" s="10"/>
    </row>
    <row r="51" spans="1:12" x14ac:dyDescent="0.25">
      <c r="A51" t="str">
        <f t="shared" si="0"/>
        <v/>
      </c>
      <c r="L51" s="10"/>
    </row>
    <row r="52" spans="1:12" x14ac:dyDescent="0.25">
      <c r="A52" t="str">
        <f t="shared" si="0"/>
        <v/>
      </c>
      <c r="L52" s="10"/>
    </row>
    <row r="53" spans="1:12" x14ac:dyDescent="0.25">
      <c r="A53" t="str">
        <f t="shared" si="0"/>
        <v/>
      </c>
      <c r="L53" s="10"/>
    </row>
    <row r="54" spans="1:12" x14ac:dyDescent="0.25">
      <c r="A54" t="str">
        <f t="shared" si="0"/>
        <v/>
      </c>
      <c r="L54" s="10"/>
    </row>
    <row r="55" spans="1:12" x14ac:dyDescent="0.25">
      <c r="A55" t="str">
        <f t="shared" si="0"/>
        <v/>
      </c>
      <c r="L55" s="10"/>
    </row>
    <row r="56" spans="1:12" x14ac:dyDescent="0.25">
      <c r="A56" t="str">
        <f t="shared" si="0"/>
        <v/>
      </c>
      <c r="L56" s="10"/>
    </row>
    <row r="57" spans="1:12" x14ac:dyDescent="0.25">
      <c r="A57" t="str">
        <f t="shared" si="0"/>
        <v/>
      </c>
      <c r="L57" s="10"/>
    </row>
    <row r="58" spans="1:12" x14ac:dyDescent="0.25">
      <c r="A58" t="str">
        <f t="shared" si="0"/>
        <v/>
      </c>
      <c r="L58" s="10"/>
    </row>
    <row r="59" spans="1:12" x14ac:dyDescent="0.25">
      <c r="A59" t="str">
        <f t="shared" si="0"/>
        <v/>
      </c>
      <c r="L59" s="10"/>
    </row>
    <row r="60" spans="1:12" x14ac:dyDescent="0.25">
      <c r="A60" t="str">
        <f t="shared" si="0"/>
        <v/>
      </c>
      <c r="L60" s="10"/>
    </row>
    <row r="61" spans="1:12" x14ac:dyDescent="0.25">
      <c r="A61" t="str">
        <f t="shared" si="0"/>
        <v/>
      </c>
      <c r="L61" s="10"/>
    </row>
    <row r="62" spans="1:12" x14ac:dyDescent="0.25">
      <c r="A62" t="str">
        <f t="shared" si="0"/>
        <v/>
      </c>
      <c r="L62" s="10"/>
    </row>
    <row r="63" spans="1:12" x14ac:dyDescent="0.25">
      <c r="A63" t="str">
        <f t="shared" si="0"/>
        <v/>
      </c>
      <c r="L63" s="10"/>
    </row>
    <row r="64" spans="1:12" x14ac:dyDescent="0.25">
      <c r="A64" t="str">
        <f t="shared" si="0"/>
        <v/>
      </c>
      <c r="L64" s="10"/>
    </row>
    <row r="65" spans="1:12" x14ac:dyDescent="0.25">
      <c r="A65" t="str">
        <f t="shared" si="0"/>
        <v/>
      </c>
      <c r="L65" s="10"/>
    </row>
    <row r="66" spans="1:12" x14ac:dyDescent="0.25">
      <c r="A66" t="str">
        <f t="shared" si="0"/>
        <v/>
      </c>
      <c r="L66" s="10"/>
    </row>
    <row r="67" spans="1:12" x14ac:dyDescent="0.25">
      <c r="A67" t="str">
        <f t="shared" si="0"/>
        <v/>
      </c>
      <c r="L67" s="10"/>
    </row>
    <row r="68" spans="1:12" x14ac:dyDescent="0.25">
      <c r="A68" t="str">
        <f t="shared" ref="A68:A131" si="1">IF(B68&gt;0,A67+1,"")</f>
        <v/>
      </c>
      <c r="L68" s="10"/>
    </row>
    <row r="69" spans="1:12" x14ac:dyDescent="0.25">
      <c r="A69" t="str">
        <f t="shared" si="1"/>
        <v/>
      </c>
      <c r="L69" s="10"/>
    </row>
    <row r="70" spans="1:12" x14ac:dyDescent="0.25">
      <c r="A70" t="str">
        <f t="shared" si="1"/>
        <v/>
      </c>
      <c r="L70" s="10"/>
    </row>
    <row r="71" spans="1:12" x14ac:dyDescent="0.25">
      <c r="A71" t="str">
        <f t="shared" si="1"/>
        <v/>
      </c>
      <c r="L71" s="10"/>
    </row>
    <row r="72" spans="1:12" x14ac:dyDescent="0.25">
      <c r="A72" t="str">
        <f t="shared" si="1"/>
        <v/>
      </c>
      <c r="L72" s="10"/>
    </row>
    <row r="73" spans="1:12" x14ac:dyDescent="0.25">
      <c r="A73" t="str">
        <f t="shared" si="1"/>
        <v/>
      </c>
      <c r="L73" s="10"/>
    </row>
    <row r="74" spans="1:12" x14ac:dyDescent="0.25">
      <c r="A74" t="str">
        <f t="shared" si="1"/>
        <v/>
      </c>
      <c r="L74" s="10"/>
    </row>
    <row r="75" spans="1:12" x14ac:dyDescent="0.25">
      <c r="A75" t="str">
        <f t="shared" si="1"/>
        <v/>
      </c>
      <c r="L75" s="10"/>
    </row>
    <row r="76" spans="1:12" x14ac:dyDescent="0.25">
      <c r="A76" t="str">
        <f t="shared" si="1"/>
        <v/>
      </c>
      <c r="L76" s="10"/>
    </row>
    <row r="77" spans="1:12" x14ac:dyDescent="0.25">
      <c r="A77" t="str">
        <f t="shared" si="1"/>
        <v/>
      </c>
      <c r="L77" s="10"/>
    </row>
    <row r="78" spans="1:12" x14ac:dyDescent="0.25">
      <c r="A78" t="str">
        <f t="shared" si="1"/>
        <v/>
      </c>
      <c r="L78" s="10"/>
    </row>
    <row r="79" spans="1:12" x14ac:dyDescent="0.25">
      <c r="A79" t="str">
        <f t="shared" si="1"/>
        <v/>
      </c>
      <c r="L79" s="10"/>
    </row>
    <row r="80" spans="1:12" x14ac:dyDescent="0.25">
      <c r="A80" t="str">
        <f t="shared" si="1"/>
        <v/>
      </c>
    </row>
    <row r="81" spans="1:1" x14ac:dyDescent="0.25">
      <c r="A81" t="str">
        <f t="shared" si="1"/>
        <v/>
      </c>
    </row>
    <row r="82" spans="1:1" x14ac:dyDescent="0.25">
      <c r="A82" t="str">
        <f t="shared" si="1"/>
        <v/>
      </c>
    </row>
    <row r="83" spans="1:1" x14ac:dyDescent="0.25">
      <c r="A83" t="str">
        <f t="shared" si="1"/>
        <v/>
      </c>
    </row>
    <row r="84" spans="1:1" x14ac:dyDescent="0.25">
      <c r="A84" t="str">
        <f t="shared" si="1"/>
        <v/>
      </c>
    </row>
    <row r="85" spans="1:1" x14ac:dyDescent="0.25">
      <c r="A85" t="str">
        <f t="shared" si="1"/>
        <v/>
      </c>
    </row>
    <row r="86" spans="1:1" x14ac:dyDescent="0.25">
      <c r="A86" t="str">
        <f t="shared" si="1"/>
        <v/>
      </c>
    </row>
    <row r="87" spans="1:1" x14ac:dyDescent="0.25">
      <c r="A87" t="str">
        <f t="shared" si="1"/>
        <v/>
      </c>
    </row>
    <row r="88" spans="1:1" x14ac:dyDescent="0.25">
      <c r="A88" t="str">
        <f t="shared" si="1"/>
        <v/>
      </c>
    </row>
    <row r="89" spans="1:1" x14ac:dyDescent="0.25">
      <c r="A89" t="str">
        <f t="shared" si="1"/>
        <v/>
      </c>
    </row>
    <row r="90" spans="1:1" x14ac:dyDescent="0.25">
      <c r="A90" t="str">
        <f t="shared" si="1"/>
        <v/>
      </c>
    </row>
    <row r="91" spans="1:1" x14ac:dyDescent="0.25">
      <c r="A91" t="str">
        <f t="shared" si="1"/>
        <v/>
      </c>
    </row>
    <row r="92" spans="1:1" x14ac:dyDescent="0.25">
      <c r="A92" t="str">
        <f t="shared" si="1"/>
        <v/>
      </c>
    </row>
    <row r="93" spans="1:1" x14ac:dyDescent="0.25">
      <c r="A93" t="str">
        <f t="shared" si="1"/>
        <v/>
      </c>
    </row>
    <row r="94" spans="1:1" x14ac:dyDescent="0.25">
      <c r="A94" t="str">
        <f t="shared" si="1"/>
        <v/>
      </c>
    </row>
    <row r="95" spans="1:1" x14ac:dyDescent="0.25">
      <c r="A95" t="str">
        <f t="shared" si="1"/>
        <v/>
      </c>
    </row>
    <row r="96" spans="1:1" x14ac:dyDescent="0.25">
      <c r="A96" t="str">
        <f t="shared" si="1"/>
        <v/>
      </c>
    </row>
    <row r="97" spans="1:1" x14ac:dyDescent="0.25">
      <c r="A97" t="str">
        <f t="shared" si="1"/>
        <v/>
      </c>
    </row>
    <row r="98" spans="1:1" x14ac:dyDescent="0.25">
      <c r="A98" t="str">
        <f t="shared" si="1"/>
        <v/>
      </c>
    </row>
    <row r="99" spans="1:1" x14ac:dyDescent="0.25">
      <c r="A99" t="str">
        <f t="shared" si="1"/>
        <v/>
      </c>
    </row>
    <row r="100" spans="1:1" x14ac:dyDescent="0.25">
      <c r="A100" t="str">
        <f t="shared" si="1"/>
        <v/>
      </c>
    </row>
    <row r="101" spans="1:1" x14ac:dyDescent="0.25">
      <c r="A101" t="str">
        <f t="shared" si="1"/>
        <v/>
      </c>
    </row>
    <row r="102" spans="1:1" x14ac:dyDescent="0.25">
      <c r="A102" t="str">
        <f t="shared" si="1"/>
        <v/>
      </c>
    </row>
    <row r="103" spans="1:1" x14ac:dyDescent="0.25">
      <c r="A103" t="str">
        <f t="shared" si="1"/>
        <v/>
      </c>
    </row>
    <row r="104" spans="1:1" x14ac:dyDescent="0.25">
      <c r="A104" t="str">
        <f t="shared" si="1"/>
        <v/>
      </c>
    </row>
    <row r="105" spans="1:1" x14ac:dyDescent="0.25">
      <c r="A105" t="str">
        <f t="shared" si="1"/>
        <v/>
      </c>
    </row>
    <row r="106" spans="1:1" x14ac:dyDescent="0.25">
      <c r="A106" t="str">
        <f t="shared" si="1"/>
        <v/>
      </c>
    </row>
    <row r="107" spans="1:1" x14ac:dyDescent="0.25">
      <c r="A107" t="str">
        <f t="shared" si="1"/>
        <v/>
      </c>
    </row>
    <row r="108" spans="1:1" x14ac:dyDescent="0.25">
      <c r="A108" t="str">
        <f t="shared" si="1"/>
        <v/>
      </c>
    </row>
    <row r="109" spans="1:1" x14ac:dyDescent="0.25">
      <c r="A109" t="str">
        <f t="shared" si="1"/>
        <v/>
      </c>
    </row>
    <row r="110" spans="1:1" x14ac:dyDescent="0.25">
      <c r="A110" t="str">
        <f t="shared" si="1"/>
        <v/>
      </c>
    </row>
    <row r="111" spans="1:1" x14ac:dyDescent="0.25">
      <c r="A111" t="str">
        <f t="shared" si="1"/>
        <v/>
      </c>
    </row>
    <row r="112" spans="1:1" x14ac:dyDescent="0.25">
      <c r="A112" t="str">
        <f t="shared" si="1"/>
        <v/>
      </c>
    </row>
    <row r="113" spans="1:1" x14ac:dyDescent="0.25">
      <c r="A113" t="str">
        <f t="shared" si="1"/>
        <v/>
      </c>
    </row>
    <row r="114" spans="1:1" x14ac:dyDescent="0.25">
      <c r="A114" t="str">
        <f t="shared" si="1"/>
        <v/>
      </c>
    </row>
    <row r="115" spans="1:1" x14ac:dyDescent="0.25">
      <c r="A115" t="str">
        <f t="shared" si="1"/>
        <v/>
      </c>
    </row>
    <row r="116" spans="1:1" x14ac:dyDescent="0.25">
      <c r="A116" t="str">
        <f t="shared" si="1"/>
        <v/>
      </c>
    </row>
    <row r="117" spans="1:1" x14ac:dyDescent="0.25">
      <c r="A117" t="str">
        <f t="shared" si="1"/>
        <v/>
      </c>
    </row>
    <row r="118" spans="1:1" x14ac:dyDescent="0.25">
      <c r="A118" t="str">
        <f t="shared" si="1"/>
        <v/>
      </c>
    </row>
    <row r="119" spans="1:1" x14ac:dyDescent="0.25">
      <c r="A119" t="str">
        <f t="shared" si="1"/>
        <v/>
      </c>
    </row>
    <row r="120" spans="1:1" x14ac:dyDescent="0.25">
      <c r="A120" t="str">
        <f t="shared" si="1"/>
        <v/>
      </c>
    </row>
    <row r="121" spans="1:1" x14ac:dyDescent="0.25">
      <c r="A121" t="str">
        <f t="shared" si="1"/>
        <v/>
      </c>
    </row>
    <row r="122" spans="1:1" x14ac:dyDescent="0.25">
      <c r="A122" t="str">
        <f t="shared" si="1"/>
        <v/>
      </c>
    </row>
    <row r="123" spans="1:1" x14ac:dyDescent="0.25">
      <c r="A123" t="str">
        <f t="shared" si="1"/>
        <v/>
      </c>
    </row>
    <row r="124" spans="1:1" x14ac:dyDescent="0.25">
      <c r="A124" t="str">
        <f t="shared" si="1"/>
        <v/>
      </c>
    </row>
    <row r="125" spans="1:1" x14ac:dyDescent="0.25">
      <c r="A125" t="str">
        <f t="shared" si="1"/>
        <v/>
      </c>
    </row>
    <row r="126" spans="1:1" x14ac:dyDescent="0.25">
      <c r="A126" t="str">
        <f t="shared" si="1"/>
        <v/>
      </c>
    </row>
    <row r="127" spans="1:1" x14ac:dyDescent="0.25">
      <c r="A127" t="str">
        <f t="shared" si="1"/>
        <v/>
      </c>
    </row>
    <row r="128" spans="1:1" x14ac:dyDescent="0.25">
      <c r="A128" t="str">
        <f t="shared" si="1"/>
        <v/>
      </c>
    </row>
    <row r="129" spans="1:1" x14ac:dyDescent="0.25">
      <c r="A129" t="str">
        <f t="shared" si="1"/>
        <v/>
      </c>
    </row>
    <row r="130" spans="1:1" x14ac:dyDescent="0.25">
      <c r="A130" t="str">
        <f t="shared" si="1"/>
        <v/>
      </c>
    </row>
    <row r="131" spans="1:1" x14ac:dyDescent="0.25">
      <c r="A131" t="str">
        <f t="shared" si="1"/>
        <v/>
      </c>
    </row>
    <row r="132" spans="1:1" x14ac:dyDescent="0.25">
      <c r="A132" t="str">
        <f t="shared" ref="A132:A195" si="2">IF(B132&gt;0,A131+1,"")</f>
        <v/>
      </c>
    </row>
    <row r="133" spans="1:1" x14ac:dyDescent="0.25">
      <c r="A133" t="str">
        <f t="shared" si="2"/>
        <v/>
      </c>
    </row>
    <row r="134" spans="1:1" x14ac:dyDescent="0.25">
      <c r="A134" t="str">
        <f t="shared" si="2"/>
        <v/>
      </c>
    </row>
    <row r="135" spans="1:1" x14ac:dyDescent="0.25">
      <c r="A135" t="str">
        <f t="shared" si="2"/>
        <v/>
      </c>
    </row>
    <row r="136" spans="1:1" x14ac:dyDescent="0.25">
      <c r="A136" t="str">
        <f t="shared" si="2"/>
        <v/>
      </c>
    </row>
    <row r="137" spans="1:1" x14ac:dyDescent="0.25">
      <c r="A137" t="str">
        <f t="shared" si="2"/>
        <v/>
      </c>
    </row>
    <row r="138" spans="1:1" x14ac:dyDescent="0.25">
      <c r="A138" t="str">
        <f t="shared" si="2"/>
        <v/>
      </c>
    </row>
    <row r="139" spans="1:1" x14ac:dyDescent="0.25">
      <c r="A139" t="str">
        <f t="shared" si="2"/>
        <v/>
      </c>
    </row>
    <row r="140" spans="1:1" x14ac:dyDescent="0.25">
      <c r="A140" t="str">
        <f t="shared" si="2"/>
        <v/>
      </c>
    </row>
    <row r="141" spans="1:1" x14ac:dyDescent="0.25">
      <c r="A141" t="str">
        <f t="shared" si="2"/>
        <v/>
      </c>
    </row>
    <row r="142" spans="1:1" x14ac:dyDescent="0.25">
      <c r="A142" t="str">
        <f t="shared" si="2"/>
        <v/>
      </c>
    </row>
    <row r="143" spans="1:1" x14ac:dyDescent="0.25">
      <c r="A143" t="str">
        <f t="shared" si="2"/>
        <v/>
      </c>
    </row>
    <row r="144" spans="1:1" x14ac:dyDescent="0.25">
      <c r="A144" t="str">
        <f t="shared" si="2"/>
        <v/>
      </c>
    </row>
    <row r="145" spans="1:1" x14ac:dyDescent="0.25">
      <c r="A145" t="str">
        <f t="shared" si="2"/>
        <v/>
      </c>
    </row>
    <row r="146" spans="1:1" x14ac:dyDescent="0.25">
      <c r="A146" t="str">
        <f t="shared" si="2"/>
        <v/>
      </c>
    </row>
    <row r="147" spans="1:1" x14ac:dyDescent="0.25">
      <c r="A147" t="str">
        <f t="shared" si="2"/>
        <v/>
      </c>
    </row>
    <row r="148" spans="1:1" x14ac:dyDescent="0.25">
      <c r="A148" t="str">
        <f t="shared" si="2"/>
        <v/>
      </c>
    </row>
    <row r="149" spans="1:1" x14ac:dyDescent="0.25">
      <c r="A149" t="str">
        <f t="shared" si="2"/>
        <v/>
      </c>
    </row>
    <row r="150" spans="1:1" x14ac:dyDescent="0.25">
      <c r="A150" t="str">
        <f t="shared" si="2"/>
        <v/>
      </c>
    </row>
    <row r="151" spans="1:1" x14ac:dyDescent="0.25">
      <c r="A151" t="str">
        <f t="shared" si="2"/>
        <v/>
      </c>
    </row>
    <row r="152" spans="1:1" x14ac:dyDescent="0.25">
      <c r="A152" t="str">
        <f t="shared" si="2"/>
        <v/>
      </c>
    </row>
    <row r="153" spans="1:1" x14ac:dyDescent="0.25">
      <c r="A153" t="str">
        <f t="shared" si="2"/>
        <v/>
      </c>
    </row>
    <row r="154" spans="1:1" x14ac:dyDescent="0.25">
      <c r="A154" t="str">
        <f t="shared" si="2"/>
        <v/>
      </c>
    </row>
    <row r="155" spans="1:1" x14ac:dyDescent="0.25">
      <c r="A155" t="str">
        <f t="shared" si="2"/>
        <v/>
      </c>
    </row>
    <row r="156" spans="1:1" x14ac:dyDescent="0.25">
      <c r="A156" t="str">
        <f t="shared" si="2"/>
        <v/>
      </c>
    </row>
    <row r="157" spans="1:1" x14ac:dyDescent="0.25">
      <c r="A157" t="str">
        <f t="shared" si="2"/>
        <v/>
      </c>
    </row>
    <row r="158" spans="1:1" x14ac:dyDescent="0.25">
      <c r="A158" t="str">
        <f t="shared" si="2"/>
        <v/>
      </c>
    </row>
    <row r="159" spans="1:1" x14ac:dyDescent="0.25">
      <c r="A159" t="str">
        <f t="shared" si="2"/>
        <v/>
      </c>
    </row>
    <row r="160" spans="1:1" x14ac:dyDescent="0.25">
      <c r="A160" t="str">
        <f t="shared" si="2"/>
        <v/>
      </c>
    </row>
    <row r="161" spans="1:1" x14ac:dyDescent="0.25">
      <c r="A161" t="str">
        <f t="shared" si="2"/>
        <v/>
      </c>
    </row>
    <row r="162" spans="1:1" x14ac:dyDescent="0.25">
      <c r="A162" t="str">
        <f t="shared" si="2"/>
        <v/>
      </c>
    </row>
    <row r="163" spans="1:1" x14ac:dyDescent="0.25">
      <c r="A163" t="str">
        <f t="shared" si="2"/>
        <v/>
      </c>
    </row>
    <row r="164" spans="1:1" x14ac:dyDescent="0.25">
      <c r="A164" t="str">
        <f t="shared" si="2"/>
        <v/>
      </c>
    </row>
    <row r="165" spans="1:1" x14ac:dyDescent="0.25">
      <c r="A165" t="str">
        <f t="shared" si="2"/>
        <v/>
      </c>
    </row>
    <row r="166" spans="1:1" x14ac:dyDescent="0.25">
      <c r="A166" t="str">
        <f t="shared" si="2"/>
        <v/>
      </c>
    </row>
    <row r="167" spans="1:1" x14ac:dyDescent="0.25">
      <c r="A167" t="str">
        <f t="shared" si="2"/>
        <v/>
      </c>
    </row>
    <row r="168" spans="1:1" x14ac:dyDescent="0.25">
      <c r="A168" t="str">
        <f t="shared" si="2"/>
        <v/>
      </c>
    </row>
    <row r="169" spans="1:1" x14ac:dyDescent="0.25">
      <c r="A169" t="str">
        <f t="shared" si="2"/>
        <v/>
      </c>
    </row>
    <row r="170" spans="1:1" x14ac:dyDescent="0.25">
      <c r="A170" t="str">
        <f t="shared" si="2"/>
        <v/>
      </c>
    </row>
    <row r="171" spans="1:1" x14ac:dyDescent="0.25">
      <c r="A171" t="str">
        <f t="shared" si="2"/>
        <v/>
      </c>
    </row>
    <row r="172" spans="1:1" x14ac:dyDescent="0.25">
      <c r="A172" t="str">
        <f t="shared" si="2"/>
        <v/>
      </c>
    </row>
    <row r="173" spans="1:1" x14ac:dyDescent="0.25">
      <c r="A173" t="str">
        <f t="shared" si="2"/>
        <v/>
      </c>
    </row>
    <row r="174" spans="1:1" x14ac:dyDescent="0.25">
      <c r="A174" t="str">
        <f t="shared" si="2"/>
        <v/>
      </c>
    </row>
    <row r="175" spans="1:1" x14ac:dyDescent="0.25">
      <c r="A175" t="str">
        <f t="shared" si="2"/>
        <v/>
      </c>
    </row>
    <row r="176" spans="1:1" x14ac:dyDescent="0.25">
      <c r="A176" t="str">
        <f t="shared" si="2"/>
        <v/>
      </c>
    </row>
    <row r="177" spans="1:1" x14ac:dyDescent="0.25">
      <c r="A177" t="str">
        <f t="shared" si="2"/>
        <v/>
      </c>
    </row>
    <row r="178" spans="1:1" x14ac:dyDescent="0.25">
      <c r="A178" t="str">
        <f t="shared" si="2"/>
        <v/>
      </c>
    </row>
    <row r="179" spans="1:1" x14ac:dyDescent="0.25">
      <c r="A179" t="str">
        <f t="shared" si="2"/>
        <v/>
      </c>
    </row>
    <row r="180" spans="1:1" x14ac:dyDescent="0.25">
      <c r="A180" t="str">
        <f t="shared" si="2"/>
        <v/>
      </c>
    </row>
    <row r="181" spans="1:1" x14ac:dyDescent="0.25">
      <c r="A181" t="str">
        <f t="shared" si="2"/>
        <v/>
      </c>
    </row>
    <row r="182" spans="1:1" x14ac:dyDescent="0.25">
      <c r="A182" t="str">
        <f t="shared" si="2"/>
        <v/>
      </c>
    </row>
    <row r="183" spans="1:1" x14ac:dyDescent="0.25">
      <c r="A183" t="str">
        <f t="shared" si="2"/>
        <v/>
      </c>
    </row>
    <row r="184" spans="1:1" x14ac:dyDescent="0.25">
      <c r="A184" t="str">
        <f t="shared" si="2"/>
        <v/>
      </c>
    </row>
    <row r="185" spans="1:1" x14ac:dyDescent="0.25">
      <c r="A185" t="str">
        <f t="shared" si="2"/>
        <v/>
      </c>
    </row>
    <row r="186" spans="1:1" x14ac:dyDescent="0.25">
      <c r="A186" t="str">
        <f t="shared" si="2"/>
        <v/>
      </c>
    </row>
    <row r="187" spans="1:1" x14ac:dyDescent="0.25">
      <c r="A187" t="str">
        <f t="shared" si="2"/>
        <v/>
      </c>
    </row>
    <row r="188" spans="1:1" x14ac:dyDescent="0.25">
      <c r="A188" t="str">
        <f t="shared" si="2"/>
        <v/>
      </c>
    </row>
    <row r="189" spans="1:1" x14ac:dyDescent="0.25">
      <c r="A189" t="str">
        <f t="shared" si="2"/>
        <v/>
      </c>
    </row>
    <row r="190" spans="1:1" x14ac:dyDescent="0.25">
      <c r="A190" t="str">
        <f t="shared" si="2"/>
        <v/>
      </c>
    </row>
    <row r="191" spans="1:1" x14ac:dyDescent="0.25">
      <c r="A191" t="str">
        <f t="shared" si="2"/>
        <v/>
      </c>
    </row>
    <row r="192" spans="1:1" x14ac:dyDescent="0.25">
      <c r="A192" t="str">
        <f t="shared" si="2"/>
        <v/>
      </c>
    </row>
    <row r="193" spans="1:1" x14ac:dyDescent="0.25">
      <c r="A193" t="str">
        <f t="shared" si="2"/>
        <v/>
      </c>
    </row>
    <row r="194" spans="1:1" x14ac:dyDescent="0.25">
      <c r="A194" t="str">
        <f t="shared" si="2"/>
        <v/>
      </c>
    </row>
    <row r="195" spans="1:1" x14ac:dyDescent="0.25">
      <c r="A195" t="str">
        <f t="shared" si="2"/>
        <v/>
      </c>
    </row>
    <row r="196" spans="1:1" x14ac:dyDescent="0.25">
      <c r="A196" t="str">
        <f t="shared" ref="A196:A243" si="3">IF(B196&gt;0,A195+1,"")</f>
        <v/>
      </c>
    </row>
    <row r="197" spans="1:1" x14ac:dyDescent="0.25">
      <c r="A197" t="str">
        <f t="shared" si="3"/>
        <v/>
      </c>
    </row>
    <row r="198" spans="1:1" x14ac:dyDescent="0.25">
      <c r="A198" t="str">
        <f t="shared" si="3"/>
        <v/>
      </c>
    </row>
    <row r="199" spans="1:1" x14ac:dyDescent="0.25">
      <c r="A199" t="str">
        <f t="shared" si="3"/>
        <v/>
      </c>
    </row>
    <row r="200" spans="1:1" x14ac:dyDescent="0.25">
      <c r="A200" t="str">
        <f t="shared" si="3"/>
        <v/>
      </c>
    </row>
    <row r="201" spans="1:1" x14ac:dyDescent="0.25">
      <c r="A201" t="str">
        <f t="shared" si="3"/>
        <v/>
      </c>
    </row>
    <row r="202" spans="1:1" x14ac:dyDescent="0.25">
      <c r="A202" t="str">
        <f t="shared" si="3"/>
        <v/>
      </c>
    </row>
    <row r="203" spans="1:1" x14ac:dyDescent="0.25">
      <c r="A203" t="str">
        <f t="shared" si="3"/>
        <v/>
      </c>
    </row>
    <row r="204" spans="1:1" x14ac:dyDescent="0.25">
      <c r="A204" t="str">
        <f t="shared" si="3"/>
        <v/>
      </c>
    </row>
    <row r="205" spans="1:1" x14ac:dyDescent="0.25">
      <c r="A205" t="str">
        <f t="shared" si="3"/>
        <v/>
      </c>
    </row>
    <row r="206" spans="1:1" x14ac:dyDescent="0.25">
      <c r="A206" t="str">
        <f t="shared" si="3"/>
        <v/>
      </c>
    </row>
    <row r="207" spans="1:1" x14ac:dyDescent="0.25">
      <c r="A207" t="str">
        <f t="shared" si="3"/>
        <v/>
      </c>
    </row>
    <row r="208" spans="1:1" x14ac:dyDescent="0.25">
      <c r="A208" t="str">
        <f t="shared" si="3"/>
        <v/>
      </c>
    </row>
    <row r="209" spans="1:1" x14ac:dyDescent="0.25">
      <c r="A209" t="str">
        <f t="shared" si="3"/>
        <v/>
      </c>
    </row>
    <row r="210" spans="1:1" x14ac:dyDescent="0.25">
      <c r="A210" t="str">
        <f t="shared" si="3"/>
        <v/>
      </c>
    </row>
    <row r="211" spans="1:1" x14ac:dyDescent="0.25">
      <c r="A211" t="str">
        <f t="shared" si="3"/>
        <v/>
      </c>
    </row>
    <row r="212" spans="1:1" x14ac:dyDescent="0.25">
      <c r="A212" t="str">
        <f t="shared" si="3"/>
        <v/>
      </c>
    </row>
    <row r="213" spans="1:1" x14ac:dyDescent="0.25">
      <c r="A213" t="str">
        <f t="shared" si="3"/>
        <v/>
      </c>
    </row>
    <row r="214" spans="1:1" x14ac:dyDescent="0.25">
      <c r="A214" t="str">
        <f t="shared" si="3"/>
        <v/>
      </c>
    </row>
    <row r="215" spans="1:1" x14ac:dyDescent="0.25">
      <c r="A215" t="str">
        <f t="shared" si="3"/>
        <v/>
      </c>
    </row>
    <row r="216" spans="1:1" x14ac:dyDescent="0.25">
      <c r="A216" t="str">
        <f t="shared" si="3"/>
        <v/>
      </c>
    </row>
    <row r="217" spans="1:1" x14ac:dyDescent="0.25">
      <c r="A217" t="str">
        <f t="shared" si="3"/>
        <v/>
      </c>
    </row>
    <row r="218" spans="1:1" x14ac:dyDescent="0.25">
      <c r="A218" t="str">
        <f t="shared" si="3"/>
        <v/>
      </c>
    </row>
    <row r="219" spans="1:1" x14ac:dyDescent="0.25">
      <c r="A219" t="str">
        <f t="shared" si="3"/>
        <v/>
      </c>
    </row>
    <row r="220" spans="1:1" x14ac:dyDescent="0.25">
      <c r="A220" t="str">
        <f t="shared" si="3"/>
        <v/>
      </c>
    </row>
    <row r="221" spans="1:1" x14ac:dyDescent="0.25">
      <c r="A221" t="str">
        <f t="shared" si="3"/>
        <v/>
      </c>
    </row>
    <row r="222" spans="1:1" x14ac:dyDescent="0.25">
      <c r="A222" t="str">
        <f t="shared" si="3"/>
        <v/>
      </c>
    </row>
    <row r="223" spans="1:1" x14ac:dyDescent="0.25">
      <c r="A223" t="str">
        <f t="shared" si="3"/>
        <v/>
      </c>
    </row>
    <row r="224" spans="1:1" x14ac:dyDescent="0.25">
      <c r="A224" t="str">
        <f t="shared" si="3"/>
        <v/>
      </c>
    </row>
    <row r="225" spans="1:1" x14ac:dyDescent="0.25">
      <c r="A225" t="str">
        <f t="shared" si="3"/>
        <v/>
      </c>
    </row>
    <row r="226" spans="1:1" x14ac:dyDescent="0.25">
      <c r="A226" t="str">
        <f t="shared" si="3"/>
        <v/>
      </c>
    </row>
    <row r="227" spans="1:1" x14ac:dyDescent="0.25">
      <c r="A227" t="str">
        <f t="shared" si="3"/>
        <v/>
      </c>
    </row>
    <row r="228" spans="1:1" x14ac:dyDescent="0.25">
      <c r="A228" t="str">
        <f t="shared" si="3"/>
        <v/>
      </c>
    </row>
    <row r="229" spans="1:1" x14ac:dyDescent="0.25">
      <c r="A229" t="str">
        <f t="shared" si="3"/>
        <v/>
      </c>
    </row>
    <row r="230" spans="1:1" x14ac:dyDescent="0.25">
      <c r="A230" t="str">
        <f t="shared" si="3"/>
        <v/>
      </c>
    </row>
    <row r="231" spans="1:1" x14ac:dyDescent="0.25">
      <c r="A231" t="str">
        <f t="shared" si="3"/>
        <v/>
      </c>
    </row>
    <row r="232" spans="1:1" x14ac:dyDescent="0.25">
      <c r="A232" t="str">
        <f t="shared" si="3"/>
        <v/>
      </c>
    </row>
    <row r="233" spans="1:1" x14ac:dyDescent="0.25">
      <c r="A233" t="str">
        <f t="shared" si="3"/>
        <v/>
      </c>
    </row>
    <row r="234" spans="1:1" x14ac:dyDescent="0.25">
      <c r="A234" t="str">
        <f t="shared" si="3"/>
        <v/>
      </c>
    </row>
    <row r="235" spans="1:1" x14ac:dyDescent="0.25">
      <c r="A235" t="str">
        <f t="shared" si="3"/>
        <v/>
      </c>
    </row>
    <row r="236" spans="1:1" x14ac:dyDescent="0.25">
      <c r="A236" t="str">
        <f t="shared" si="3"/>
        <v/>
      </c>
    </row>
    <row r="237" spans="1:1" x14ac:dyDescent="0.25">
      <c r="A237" t="str">
        <f t="shared" si="3"/>
        <v/>
      </c>
    </row>
    <row r="238" spans="1:1" x14ac:dyDescent="0.25">
      <c r="A238" t="str">
        <f t="shared" si="3"/>
        <v/>
      </c>
    </row>
    <row r="239" spans="1:1" x14ac:dyDescent="0.25">
      <c r="A239" t="str">
        <f t="shared" si="3"/>
        <v/>
      </c>
    </row>
    <row r="240" spans="1:1" x14ac:dyDescent="0.25">
      <c r="A240" t="str">
        <f t="shared" si="3"/>
        <v/>
      </c>
    </row>
    <row r="241" spans="1:1" x14ac:dyDescent="0.25">
      <c r="A241" t="str">
        <f t="shared" si="3"/>
        <v/>
      </c>
    </row>
    <row r="242" spans="1:1" x14ac:dyDescent="0.25">
      <c r="A242" t="str">
        <f t="shared" si="3"/>
        <v/>
      </c>
    </row>
    <row r="243" spans="1:1" x14ac:dyDescent="0.25">
      <c r="A243" t="str">
        <f t="shared" si="3"/>
        <v/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"/>
  <sheetViews>
    <sheetView zoomScaleNormal="100" workbookViewId="0">
      <selection activeCell="B1" sqref="B1"/>
    </sheetView>
  </sheetViews>
  <sheetFormatPr defaultColWidth="9.140625" defaultRowHeight="15" x14ac:dyDescent="0.25"/>
  <cols>
    <col min="2" max="2" width="130.7109375" customWidth="1"/>
  </cols>
  <sheetData>
    <row r="1" spans="1:2" ht="270" x14ac:dyDescent="0.25">
      <c r="A1" s="2" t="s">
        <v>0</v>
      </c>
      <c r="B1" s="45" t="str">
        <f>CONCATENATE("SELECT 
a.`zona`,
a.`sector`,
a.`codigo`,
a.`nombres`,
b.`cajas`,
b.`cod`,
b.`pod`,
b.`comentarios`,
c.`solicitante`,
c.`fecha_despachado`,
b.`monto_facturado`,
c.`documento`,
c.`autorizacion`
FROM 
consejeras  a
"," INNER JOIN pedidos b ON b.`codigo`  = a.`codigo`  INNER JOIN solicitudes c ON c.`pedido_id` = b.id 
WHERE c.`tipo_solicitud` = 1 AND DATE(c.`fecha_despachado`) = '",TEXT(REPORTE!A3,"YYYY-MM-DD"),"' AND  a.zona = ",REPORTE!F3," AND b.campania = ",REPORTE!K3&amp;" order by c.fecha_creado")</f>
        <v>SELECT 
a.`zona`,
a.`sector`,
a.`codigo`,
a.`nombres`,
b.`cajas`,
b.`cod`,
b.`pod`,
b.`comentarios`,
c.`solicitante`,
c.`fecha_despachado`,
b.`monto_facturado`,
c.`documento`,
c.`autorizacion`
FROM 
consejeras  a
 INNER JOIN pedidos b ON b.`codigo`  = a.`codigo`  INNER JOIN solicitudes c ON c.`pedido_id` = b.id 
WHERE c.`tipo_solicitud` = 1 AND DATE(c.`fecha_despachado`) = '2015-04-26' AND  a.zona = 227 AND b.campania = 1 order by c.fecha_creado</v>
      </c>
    </row>
    <row r="2" spans="1:2" x14ac:dyDescent="0.25">
      <c r="B2" s="3">
        <f>LEN(B1)</f>
        <v>449</v>
      </c>
    </row>
  </sheetData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N99"/>
  <sheetViews>
    <sheetView showGridLines="0" tabSelected="1" zoomScale="90" zoomScaleNormal="90" zoomScalePageLayoutView="70" workbookViewId="0">
      <selection activeCell="M6" sqref="M6:M7"/>
    </sheetView>
  </sheetViews>
  <sheetFormatPr defaultColWidth="11.42578125" defaultRowHeight="16.5" x14ac:dyDescent="0.3"/>
  <cols>
    <col min="1" max="1" width="4.7109375" style="5" customWidth="1"/>
    <col min="2" max="2" width="10" style="5" customWidth="1"/>
    <col min="3" max="3" width="4.7109375" style="5" customWidth="1"/>
    <col min="4" max="4" width="40.140625" style="41" customWidth="1"/>
    <col min="5" max="5" width="6.140625" style="5" customWidth="1"/>
    <col min="6" max="6" width="29.140625" style="5" customWidth="1"/>
    <col min="7" max="7" width="7" style="43" customWidth="1"/>
    <col min="8" max="8" width="9.5703125" style="44" customWidth="1"/>
    <col min="9" max="10" width="9.7109375" style="5" bestFit="1" customWidth="1"/>
    <col min="11" max="11" width="10.42578125" style="4" bestFit="1" customWidth="1"/>
    <col min="12" max="12" width="5.7109375" style="4" customWidth="1"/>
    <col min="13" max="13" width="17.5703125" style="4" customWidth="1"/>
    <col min="14" max="14" width="19.28515625" style="4" customWidth="1"/>
    <col min="15" max="16384" width="11.42578125" style="4"/>
  </cols>
  <sheetData>
    <row r="1" spans="1:14" s="11" customFormat="1" ht="24" x14ac:dyDescent="0.25">
      <c r="A1" s="57" t="s">
        <v>41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</row>
    <row r="2" spans="1:14" s="11" customFormat="1" ht="24.75" thickBot="1" x14ac:dyDescent="0.3">
      <c r="A2" s="57" t="s">
        <v>8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</row>
    <row r="3" spans="1:14" s="6" customFormat="1" ht="14.25" thickBot="1" x14ac:dyDescent="0.3">
      <c r="A3" s="58">
        <v>42120</v>
      </c>
      <c r="B3" s="59"/>
      <c r="C3" s="60"/>
      <c r="D3" s="8"/>
      <c r="E3" s="8"/>
      <c r="F3" s="61">
        <v>227</v>
      </c>
      <c r="G3" s="62"/>
      <c r="H3" s="7" t="s">
        <v>9</v>
      </c>
      <c r="I3" s="8"/>
      <c r="J3" s="12"/>
      <c r="K3" s="63" t="s">
        <v>43</v>
      </c>
      <c r="L3" s="64"/>
      <c r="M3" s="9" t="s">
        <v>11</v>
      </c>
      <c r="N3" s="9">
        <v>1</v>
      </c>
    </row>
    <row r="4" spans="1:14" s="6" customFormat="1" ht="18.75" customHeight="1" x14ac:dyDescent="0.25">
      <c r="A4" s="55" t="s">
        <v>10</v>
      </c>
      <c r="B4" s="55"/>
      <c r="C4" s="55"/>
      <c r="D4" s="8"/>
      <c r="E4" s="8"/>
      <c r="F4" s="56" t="s">
        <v>1</v>
      </c>
      <c r="G4" s="56"/>
      <c r="H4" s="8"/>
      <c r="I4" s="8"/>
      <c r="J4" s="13"/>
      <c r="K4" s="56" t="s">
        <v>7</v>
      </c>
      <c r="L4" s="56"/>
      <c r="M4" s="9" t="s">
        <v>12</v>
      </c>
      <c r="N4" s="8">
        <v>30</v>
      </c>
    </row>
    <row r="5" spans="1:14" s="6" customFormat="1" ht="9" customHeight="1" x14ac:dyDescent="0.25">
      <c r="A5" s="7"/>
      <c r="B5" s="14"/>
      <c r="C5" s="7"/>
      <c r="D5" s="8"/>
      <c r="E5" s="8"/>
      <c r="F5" s="8"/>
      <c r="G5" s="8"/>
      <c r="H5" s="8"/>
      <c r="I5" s="8"/>
      <c r="J5" s="12"/>
      <c r="K5" s="15"/>
      <c r="L5" s="8"/>
      <c r="M5" s="8"/>
      <c r="N5" s="8"/>
    </row>
    <row r="6" spans="1:14" s="6" customFormat="1" ht="21" customHeight="1" x14ac:dyDescent="0.25">
      <c r="A6" s="46" t="s">
        <v>13</v>
      </c>
      <c r="B6" s="47" t="s">
        <v>2</v>
      </c>
      <c r="C6" s="47" t="s">
        <v>14</v>
      </c>
      <c r="D6" s="47" t="s">
        <v>15</v>
      </c>
      <c r="E6" s="46" t="s">
        <v>16</v>
      </c>
      <c r="F6" s="46" t="s">
        <v>17</v>
      </c>
      <c r="G6" s="46" t="s">
        <v>18</v>
      </c>
      <c r="H6" s="46" t="s">
        <v>19</v>
      </c>
      <c r="I6" s="46" t="s">
        <v>20</v>
      </c>
      <c r="J6" s="54" t="s">
        <v>21</v>
      </c>
      <c r="K6" s="51" t="s">
        <v>22</v>
      </c>
      <c r="L6" s="52" t="s">
        <v>38</v>
      </c>
      <c r="M6" s="46" t="s">
        <v>39</v>
      </c>
      <c r="N6" s="47" t="s">
        <v>40</v>
      </c>
    </row>
    <row r="7" spans="1:14" s="6" customFormat="1" ht="21" customHeight="1" x14ac:dyDescent="0.25">
      <c r="A7" s="46"/>
      <c r="B7" s="47"/>
      <c r="C7" s="47"/>
      <c r="D7" s="47"/>
      <c r="E7" s="46"/>
      <c r="F7" s="46"/>
      <c r="G7" s="46"/>
      <c r="H7" s="46"/>
      <c r="I7" s="46"/>
      <c r="J7" s="54"/>
      <c r="K7" s="51"/>
      <c r="L7" s="52"/>
      <c r="M7" s="46"/>
      <c r="N7" s="47"/>
    </row>
    <row r="8" spans="1:14" s="6" customFormat="1" ht="21" customHeight="1" x14ac:dyDescent="0.25">
      <c r="A8" s="16">
        <f>N3</f>
        <v>1</v>
      </c>
      <c r="B8" s="16">
        <f>IFERROR(VLOOKUP(A8,Info!A:L,4,0),"")</f>
        <v>0</v>
      </c>
      <c r="C8" s="17">
        <f>IFERROR(VLOOKUP(A8,Info!A:L,3,0),"")</f>
        <v>0</v>
      </c>
      <c r="D8" s="16">
        <f>IFERROR(VLOOKUP(A8,Info!A:L,5,0),"")</f>
        <v>0</v>
      </c>
      <c r="E8" s="18">
        <f>IFERROR(VLOOKUP(A8,Info!A:L,6,0),"")</f>
        <v>0</v>
      </c>
      <c r="F8" s="16">
        <f>IFERROR(VLOOKUP(A8,Info!A:L,9,0),"")</f>
        <v>0</v>
      </c>
      <c r="G8" s="16">
        <f t="shared" ref="G8:G37" si="0">IF(F8 = "", E8,E8+MID(F8,1,1))</f>
        <v>0</v>
      </c>
      <c r="H8" s="19">
        <f>IFERROR(VLOOKUP(A8,Info!A:L,7,0),"")</f>
        <v>0</v>
      </c>
      <c r="I8" s="20">
        <f>IFERROR(VLOOKUP(A8,Info!A:L,8,0),"")</f>
        <v>0</v>
      </c>
      <c r="J8" s="21">
        <f>IFERROR(VLOOKUP(A8,Info!A:M,13,0),"")</f>
        <v>0</v>
      </c>
      <c r="K8" s="19">
        <f t="shared" ref="K8" si="1">IF(B8="","",H8-I8-J8)</f>
        <v>0</v>
      </c>
      <c r="L8" s="16"/>
      <c r="M8" s="22">
        <f>IFERROR(VLOOKUP(A8,Info!A:L,10,0),"")</f>
        <v>0</v>
      </c>
      <c r="N8" s="16">
        <f>IFERROR(VLOOKUP(A8,Info!A:L,11,0),"")</f>
        <v>0</v>
      </c>
    </row>
    <row r="9" spans="1:14" s="6" customFormat="1" ht="21" customHeight="1" x14ac:dyDescent="0.25">
      <c r="A9" s="16">
        <f>IF(A8&lt;$N$4,A8+1,$N$4)</f>
        <v>2</v>
      </c>
      <c r="B9" s="16" t="str">
        <f>IFERROR(VLOOKUP(A9,Info!A:L,4,0),"")</f>
        <v/>
      </c>
      <c r="C9" s="17" t="str">
        <f>IFERROR(VLOOKUP(A9,Info!A:L,3,0),"")</f>
        <v/>
      </c>
      <c r="D9" s="16" t="str">
        <f>IFERROR(VLOOKUP(A9,Info!A:L,5,0),"")</f>
        <v/>
      </c>
      <c r="E9" s="18" t="str">
        <f>IFERROR(VLOOKUP(A9,Info!A:L,6,0),"")</f>
        <v/>
      </c>
      <c r="F9" s="16" t="str">
        <f>IFERROR(VLOOKUP(A9,Info!A:L,9,0),"")</f>
        <v/>
      </c>
      <c r="G9" s="16" t="str">
        <f t="shared" si="0"/>
        <v/>
      </c>
      <c r="H9" s="19" t="str">
        <f>IFERROR(VLOOKUP(A9,Info!A:L,7,0),"")</f>
        <v/>
      </c>
      <c r="I9" s="20" t="str">
        <f>IFERROR(VLOOKUP(A9,Info!A:L,8,0),"")</f>
        <v/>
      </c>
      <c r="J9" s="21" t="str">
        <f>IFERROR(VLOOKUP(A9,Info!A:M,13,0),"")</f>
        <v/>
      </c>
      <c r="K9" s="19" t="str">
        <f t="shared" ref="K9:K37" si="2">IF(B9="","",H9-I9-J9)</f>
        <v/>
      </c>
      <c r="L9" s="16"/>
      <c r="M9" s="22" t="str">
        <f>IFERROR(VLOOKUP(A9,Info!A:L,10,0),"")</f>
        <v/>
      </c>
      <c r="N9" s="16" t="str">
        <f>IFERROR(VLOOKUP(A9,Info!A:L,11,0),"")</f>
        <v/>
      </c>
    </row>
    <row r="10" spans="1:14" s="6" customFormat="1" ht="21" customHeight="1" x14ac:dyDescent="0.25">
      <c r="A10" s="16">
        <f t="shared" ref="A10:A37" si="3">IF(A9&lt;$N$4,A9+1,$N$4)</f>
        <v>3</v>
      </c>
      <c r="B10" s="16" t="str">
        <f>IFERROR(VLOOKUP(A10,Info!A:L,4,0),"")</f>
        <v/>
      </c>
      <c r="C10" s="17" t="str">
        <f>IFERROR(VLOOKUP(A10,Info!A:L,3,0),"")</f>
        <v/>
      </c>
      <c r="D10" s="16" t="str">
        <f>IFERROR(VLOOKUP(A10,Info!A:L,5,0),"")</f>
        <v/>
      </c>
      <c r="E10" s="18" t="str">
        <f>IFERROR(VLOOKUP(A10,Info!A:L,6,0),"")</f>
        <v/>
      </c>
      <c r="F10" s="16" t="str">
        <f>IFERROR(VLOOKUP(A10,Info!A:L,9,0),"")</f>
        <v/>
      </c>
      <c r="G10" s="16" t="str">
        <f t="shared" si="0"/>
        <v/>
      </c>
      <c r="H10" s="19" t="str">
        <f>IFERROR(VLOOKUP(A10,Info!A:L,7,0),"")</f>
        <v/>
      </c>
      <c r="I10" s="20" t="str">
        <f>IFERROR(VLOOKUP(A10,Info!A:L,8,0),"")</f>
        <v/>
      </c>
      <c r="J10" s="21" t="str">
        <f>IFERROR(VLOOKUP(A10,Info!A:M,13,0),"")</f>
        <v/>
      </c>
      <c r="K10" s="19" t="str">
        <f t="shared" si="2"/>
        <v/>
      </c>
      <c r="L10" s="16"/>
      <c r="M10" s="22" t="str">
        <f>IFERROR(VLOOKUP(A10,Info!A:L,10,0),"")</f>
        <v/>
      </c>
      <c r="N10" s="16" t="str">
        <f>IFERROR(VLOOKUP(A10,Info!A:L,11,0),"")</f>
        <v/>
      </c>
    </row>
    <row r="11" spans="1:14" s="6" customFormat="1" ht="21" customHeight="1" x14ac:dyDescent="0.25">
      <c r="A11" s="16">
        <f t="shared" si="3"/>
        <v>4</v>
      </c>
      <c r="B11" s="16" t="str">
        <f>IFERROR(VLOOKUP(A11,Info!A:L,4,0),"")</f>
        <v/>
      </c>
      <c r="C11" s="17" t="str">
        <f>IFERROR(VLOOKUP(A11,Info!A:L,3,0),"")</f>
        <v/>
      </c>
      <c r="D11" s="16" t="str">
        <f>IFERROR(VLOOKUP(A11,Info!A:L,5,0),"")</f>
        <v/>
      </c>
      <c r="E11" s="18" t="str">
        <f>IFERROR(VLOOKUP(A11,Info!A:L,6,0),"")</f>
        <v/>
      </c>
      <c r="F11" s="16" t="str">
        <f>IFERROR(VLOOKUP(A11,Info!A:L,9,0),"")</f>
        <v/>
      </c>
      <c r="G11" s="16" t="str">
        <f t="shared" si="0"/>
        <v/>
      </c>
      <c r="H11" s="19" t="str">
        <f>IFERROR(VLOOKUP(A11,Info!A:L,7,0),"")</f>
        <v/>
      </c>
      <c r="I11" s="20" t="str">
        <f>IFERROR(VLOOKUP(A11,Info!A:L,8,0),"")</f>
        <v/>
      </c>
      <c r="J11" s="21" t="str">
        <f>IFERROR(VLOOKUP(A11,Info!A:M,13,0),"")</f>
        <v/>
      </c>
      <c r="K11" s="19" t="str">
        <f t="shared" si="2"/>
        <v/>
      </c>
      <c r="L11" s="16"/>
      <c r="M11" s="22" t="str">
        <f>IFERROR(VLOOKUP(A11,Info!A:L,10,0),"")</f>
        <v/>
      </c>
      <c r="N11" s="16" t="str">
        <f>IFERROR(VLOOKUP(A11,Info!A:L,11,0),"")</f>
        <v/>
      </c>
    </row>
    <row r="12" spans="1:14" s="6" customFormat="1" ht="21" customHeight="1" x14ac:dyDescent="0.25">
      <c r="A12" s="16">
        <f t="shared" si="3"/>
        <v>5</v>
      </c>
      <c r="B12" s="16" t="str">
        <f>IFERROR(VLOOKUP(A12,Info!A:L,4,0),"")</f>
        <v/>
      </c>
      <c r="C12" s="17" t="str">
        <f>IFERROR(VLOOKUP(A12,Info!A:L,3,0),"")</f>
        <v/>
      </c>
      <c r="D12" s="16" t="str">
        <f>IFERROR(VLOOKUP(A12,Info!A:L,5,0),"")</f>
        <v/>
      </c>
      <c r="E12" s="18" t="str">
        <f>IFERROR(VLOOKUP(A12,Info!A:L,6,0),"")</f>
        <v/>
      </c>
      <c r="F12" s="16" t="str">
        <f>IFERROR(VLOOKUP(A12,Info!A:L,9,0),"")</f>
        <v/>
      </c>
      <c r="G12" s="16" t="str">
        <f t="shared" si="0"/>
        <v/>
      </c>
      <c r="H12" s="19" t="str">
        <f>IFERROR(VLOOKUP(A12,Info!A:L,7,0),"")</f>
        <v/>
      </c>
      <c r="I12" s="20" t="str">
        <f>IFERROR(VLOOKUP(A12,Info!A:L,8,0),"")</f>
        <v/>
      </c>
      <c r="J12" s="21" t="str">
        <f>IFERROR(VLOOKUP(A12,Info!A:M,13,0),"")</f>
        <v/>
      </c>
      <c r="K12" s="19" t="str">
        <f t="shared" si="2"/>
        <v/>
      </c>
      <c r="L12" s="16"/>
      <c r="M12" s="22" t="str">
        <f>IFERROR(VLOOKUP(A12,Info!A:L,10,0),"")</f>
        <v/>
      </c>
      <c r="N12" s="16" t="str">
        <f>IFERROR(VLOOKUP(A12,Info!A:L,11,0),"")</f>
        <v/>
      </c>
    </row>
    <row r="13" spans="1:14" s="6" customFormat="1" ht="21" customHeight="1" x14ac:dyDescent="0.25">
      <c r="A13" s="16">
        <f t="shared" si="3"/>
        <v>6</v>
      </c>
      <c r="B13" s="16" t="str">
        <f>IFERROR(VLOOKUP(A13,Info!A:L,4,0),"")</f>
        <v/>
      </c>
      <c r="C13" s="17" t="str">
        <f>IFERROR(VLOOKUP(A13,Info!A:L,3,0),"")</f>
        <v/>
      </c>
      <c r="D13" s="16" t="str">
        <f>IFERROR(VLOOKUP(A13,Info!A:L,5,0),"")</f>
        <v/>
      </c>
      <c r="E13" s="18" t="str">
        <f>IFERROR(VLOOKUP(A13,Info!A:L,6,0),"")</f>
        <v/>
      </c>
      <c r="F13" s="16" t="str">
        <f>IFERROR(VLOOKUP(A13,Info!A:L,9,0),"")</f>
        <v/>
      </c>
      <c r="G13" s="16" t="str">
        <f t="shared" si="0"/>
        <v/>
      </c>
      <c r="H13" s="19" t="str">
        <f>IFERROR(VLOOKUP(A13,Info!A:L,7,0),"")</f>
        <v/>
      </c>
      <c r="I13" s="20" t="str">
        <f>IFERROR(VLOOKUP(A13,Info!A:L,8,0),"")</f>
        <v/>
      </c>
      <c r="J13" s="21" t="str">
        <f>IFERROR(VLOOKUP(A13,Info!A:M,13,0),"")</f>
        <v/>
      </c>
      <c r="K13" s="19" t="str">
        <f t="shared" si="2"/>
        <v/>
      </c>
      <c r="L13" s="16"/>
      <c r="M13" s="22" t="str">
        <f>IFERROR(VLOOKUP(A13,Info!A:L,10,0),"")</f>
        <v/>
      </c>
      <c r="N13" s="16" t="str">
        <f>IFERROR(VLOOKUP(A13,Info!A:L,11,0),"")</f>
        <v/>
      </c>
    </row>
    <row r="14" spans="1:14" s="6" customFormat="1" ht="21" customHeight="1" x14ac:dyDescent="0.25">
      <c r="A14" s="16">
        <f t="shared" si="3"/>
        <v>7</v>
      </c>
      <c r="B14" s="16" t="str">
        <f>IFERROR(VLOOKUP(A14,Info!A:L,4,0),"")</f>
        <v/>
      </c>
      <c r="C14" s="17" t="str">
        <f>IFERROR(VLOOKUP(A14,Info!A:L,3,0),"")</f>
        <v/>
      </c>
      <c r="D14" s="16" t="str">
        <f>IFERROR(VLOOKUP(A14,Info!A:L,5,0),"")</f>
        <v/>
      </c>
      <c r="E14" s="18" t="str">
        <f>IFERROR(VLOOKUP(A14,Info!A:L,6,0),"")</f>
        <v/>
      </c>
      <c r="F14" s="16" t="str">
        <f>IFERROR(VLOOKUP(A14,Info!A:L,9,0),"")</f>
        <v/>
      </c>
      <c r="G14" s="16" t="str">
        <f t="shared" si="0"/>
        <v/>
      </c>
      <c r="H14" s="19" t="str">
        <f>IFERROR(VLOOKUP(A14,Info!A:L,7,0),"")</f>
        <v/>
      </c>
      <c r="I14" s="20" t="str">
        <f>IFERROR(VLOOKUP(A14,Info!A:L,8,0),"")</f>
        <v/>
      </c>
      <c r="J14" s="21" t="str">
        <f>IFERROR(VLOOKUP(A14,Info!A:M,13,0),"")</f>
        <v/>
      </c>
      <c r="K14" s="19" t="str">
        <f t="shared" si="2"/>
        <v/>
      </c>
      <c r="L14" s="16"/>
      <c r="M14" s="22" t="str">
        <f>IFERROR(VLOOKUP(A14,Info!A:L,10,0),"")</f>
        <v/>
      </c>
      <c r="N14" s="16" t="str">
        <f>IFERROR(VLOOKUP(A14,Info!A:L,11,0),"")</f>
        <v/>
      </c>
    </row>
    <row r="15" spans="1:14" s="6" customFormat="1" ht="21" customHeight="1" x14ac:dyDescent="0.25">
      <c r="A15" s="16">
        <f t="shared" si="3"/>
        <v>8</v>
      </c>
      <c r="B15" s="16" t="str">
        <f>IFERROR(VLOOKUP(A15,Info!A:L,4,0),"")</f>
        <v/>
      </c>
      <c r="C15" s="17" t="str">
        <f>IFERROR(VLOOKUP(A15,Info!A:L,3,0),"")</f>
        <v/>
      </c>
      <c r="D15" s="16" t="str">
        <f>IFERROR(VLOOKUP(A15,Info!A:L,5,0),"")</f>
        <v/>
      </c>
      <c r="E15" s="18" t="str">
        <f>IFERROR(VLOOKUP(A15,Info!A:L,6,0),"")</f>
        <v/>
      </c>
      <c r="F15" s="16" t="str">
        <f>IFERROR(VLOOKUP(A15,Info!A:L,9,0),"")</f>
        <v/>
      </c>
      <c r="G15" s="16" t="str">
        <f t="shared" si="0"/>
        <v/>
      </c>
      <c r="H15" s="19" t="str">
        <f>IFERROR(VLOOKUP(A15,Info!A:L,7,0),"")</f>
        <v/>
      </c>
      <c r="I15" s="20" t="str">
        <f>IFERROR(VLOOKUP(A15,Info!A:L,8,0),"")</f>
        <v/>
      </c>
      <c r="J15" s="21" t="str">
        <f>IFERROR(VLOOKUP(A15,Info!A:M,13,0),"")</f>
        <v/>
      </c>
      <c r="K15" s="19" t="str">
        <f t="shared" si="2"/>
        <v/>
      </c>
      <c r="L15" s="16"/>
      <c r="M15" s="22" t="str">
        <f>IFERROR(VLOOKUP(A15,Info!A:L,10,0),"")</f>
        <v/>
      </c>
      <c r="N15" s="16" t="str">
        <f>IFERROR(VLOOKUP(A15,Info!A:L,11,0),"")</f>
        <v/>
      </c>
    </row>
    <row r="16" spans="1:14" s="6" customFormat="1" ht="21" customHeight="1" x14ac:dyDescent="0.25">
      <c r="A16" s="16">
        <f t="shared" si="3"/>
        <v>9</v>
      </c>
      <c r="B16" s="16" t="str">
        <f>IFERROR(VLOOKUP(A16,Info!A:L,4,0),"")</f>
        <v/>
      </c>
      <c r="C16" s="17" t="str">
        <f>IFERROR(VLOOKUP(A16,Info!A:L,3,0),"")</f>
        <v/>
      </c>
      <c r="D16" s="16" t="str">
        <f>IFERROR(VLOOKUP(A16,Info!A:L,5,0),"")</f>
        <v/>
      </c>
      <c r="E16" s="18" t="str">
        <f>IFERROR(VLOOKUP(A16,Info!A:L,6,0),"")</f>
        <v/>
      </c>
      <c r="F16" s="16" t="str">
        <f>IFERROR(VLOOKUP(A16,Info!A:L,9,0),"")</f>
        <v/>
      </c>
      <c r="G16" s="16" t="str">
        <f t="shared" si="0"/>
        <v/>
      </c>
      <c r="H16" s="19" t="str">
        <f>IFERROR(VLOOKUP(A16,Info!A:L,7,0),"")</f>
        <v/>
      </c>
      <c r="I16" s="20" t="str">
        <f>IFERROR(VLOOKUP(A16,Info!A:L,8,0),"")</f>
        <v/>
      </c>
      <c r="J16" s="21" t="str">
        <f>IFERROR(VLOOKUP(A16,Info!A:M,13,0),"")</f>
        <v/>
      </c>
      <c r="K16" s="19" t="str">
        <f t="shared" si="2"/>
        <v/>
      </c>
      <c r="L16" s="16"/>
      <c r="M16" s="22" t="str">
        <f>IFERROR(VLOOKUP(A16,Info!A:L,10,0),"")</f>
        <v/>
      </c>
      <c r="N16" s="16" t="str">
        <f>IFERROR(VLOOKUP(A16,Info!A:L,11,0),"")</f>
        <v/>
      </c>
    </row>
    <row r="17" spans="1:14" s="6" customFormat="1" ht="21" customHeight="1" x14ac:dyDescent="0.25">
      <c r="A17" s="16">
        <f t="shared" si="3"/>
        <v>10</v>
      </c>
      <c r="B17" s="16" t="str">
        <f>IFERROR(VLOOKUP(A17,Info!A:L,4,0),"")</f>
        <v/>
      </c>
      <c r="C17" s="17" t="str">
        <f>IFERROR(VLOOKUP(A17,Info!A:L,3,0),"")</f>
        <v/>
      </c>
      <c r="D17" s="16" t="str">
        <f>IFERROR(VLOOKUP(A17,Info!A:L,5,0),"")</f>
        <v/>
      </c>
      <c r="E17" s="18" t="str">
        <f>IFERROR(VLOOKUP(A17,Info!A:L,6,0),"")</f>
        <v/>
      </c>
      <c r="F17" s="16" t="str">
        <f>IFERROR(VLOOKUP(A17,Info!A:L,9,0),"")</f>
        <v/>
      </c>
      <c r="G17" s="16" t="str">
        <f t="shared" si="0"/>
        <v/>
      </c>
      <c r="H17" s="19" t="str">
        <f>IFERROR(VLOOKUP(A17,Info!A:L,7,0),"")</f>
        <v/>
      </c>
      <c r="I17" s="20" t="str">
        <f>IFERROR(VLOOKUP(A17,Info!A:L,8,0),"")</f>
        <v/>
      </c>
      <c r="J17" s="21" t="str">
        <f>IFERROR(VLOOKUP(A17,Info!A:M,13,0),"")</f>
        <v/>
      </c>
      <c r="K17" s="19" t="str">
        <f t="shared" si="2"/>
        <v/>
      </c>
      <c r="L17" s="16"/>
      <c r="M17" s="22" t="str">
        <f>IFERROR(VLOOKUP(A17,Info!A:L,10,0),"")</f>
        <v/>
      </c>
      <c r="N17" s="16" t="str">
        <f>IFERROR(VLOOKUP(A17,Info!A:L,11,0),"")</f>
        <v/>
      </c>
    </row>
    <row r="18" spans="1:14" s="6" customFormat="1" ht="21" customHeight="1" x14ac:dyDescent="0.25">
      <c r="A18" s="16">
        <f t="shared" si="3"/>
        <v>11</v>
      </c>
      <c r="B18" s="16" t="str">
        <f>IFERROR(VLOOKUP(A18,Info!A:L,4,0),"")</f>
        <v/>
      </c>
      <c r="C18" s="17" t="str">
        <f>IFERROR(VLOOKUP(A18,Info!A:L,3,0),"")</f>
        <v/>
      </c>
      <c r="D18" s="16" t="str">
        <f>IFERROR(VLOOKUP(A18,Info!A:L,5,0),"")</f>
        <v/>
      </c>
      <c r="E18" s="18" t="str">
        <f>IFERROR(VLOOKUP(A18,Info!A:L,6,0),"")</f>
        <v/>
      </c>
      <c r="F18" s="16" t="str">
        <f>IFERROR(VLOOKUP(A18,Info!A:L,9,0),"")</f>
        <v/>
      </c>
      <c r="G18" s="16" t="str">
        <f t="shared" si="0"/>
        <v/>
      </c>
      <c r="H18" s="19" t="str">
        <f>IFERROR(VLOOKUP(A18,Info!A:L,7,0),"")</f>
        <v/>
      </c>
      <c r="I18" s="20" t="str">
        <f>IFERROR(VLOOKUP(A18,Info!A:L,8,0),"")</f>
        <v/>
      </c>
      <c r="J18" s="21" t="str">
        <f>IFERROR(VLOOKUP(A18,Info!A:M,13,0),"")</f>
        <v/>
      </c>
      <c r="K18" s="19" t="str">
        <f t="shared" si="2"/>
        <v/>
      </c>
      <c r="L18" s="16"/>
      <c r="M18" s="22" t="str">
        <f>IFERROR(VLOOKUP(A18,Info!A:L,10,0),"")</f>
        <v/>
      </c>
      <c r="N18" s="16" t="str">
        <f>IFERROR(VLOOKUP(A18,Info!A:L,11,0),"")</f>
        <v/>
      </c>
    </row>
    <row r="19" spans="1:14" s="6" customFormat="1" ht="21" customHeight="1" x14ac:dyDescent="0.25">
      <c r="A19" s="16">
        <f t="shared" si="3"/>
        <v>12</v>
      </c>
      <c r="B19" s="16" t="str">
        <f>IFERROR(VLOOKUP(A19,Info!A:L,4,0),"")</f>
        <v/>
      </c>
      <c r="C19" s="17" t="str">
        <f>IFERROR(VLOOKUP(A19,Info!A:L,3,0),"")</f>
        <v/>
      </c>
      <c r="D19" s="16" t="str">
        <f>IFERROR(VLOOKUP(A19,Info!A:L,5,0),"")</f>
        <v/>
      </c>
      <c r="E19" s="18" t="str">
        <f>IFERROR(VLOOKUP(A19,Info!A:L,6,0),"")</f>
        <v/>
      </c>
      <c r="F19" s="16" t="str">
        <f>IFERROR(VLOOKUP(A19,Info!A:L,9,0),"")</f>
        <v/>
      </c>
      <c r="G19" s="16" t="str">
        <f t="shared" si="0"/>
        <v/>
      </c>
      <c r="H19" s="19" t="str">
        <f>IFERROR(VLOOKUP(A19,Info!A:L,7,0),"")</f>
        <v/>
      </c>
      <c r="I19" s="20" t="str">
        <f>IFERROR(VLOOKUP(A19,Info!A:L,8,0),"")</f>
        <v/>
      </c>
      <c r="J19" s="21" t="str">
        <f>IFERROR(VLOOKUP(A19,Info!A:M,13,0),"")</f>
        <v/>
      </c>
      <c r="K19" s="19" t="str">
        <f t="shared" si="2"/>
        <v/>
      </c>
      <c r="L19" s="16"/>
      <c r="M19" s="22" t="str">
        <f>IFERROR(VLOOKUP(A19,Info!A:L,10,0),"")</f>
        <v/>
      </c>
      <c r="N19" s="16" t="str">
        <f>IFERROR(VLOOKUP(A19,Info!A:L,11,0),"")</f>
        <v/>
      </c>
    </row>
    <row r="20" spans="1:14" s="6" customFormat="1" ht="21" customHeight="1" x14ac:dyDescent="0.25">
      <c r="A20" s="16">
        <f t="shared" si="3"/>
        <v>13</v>
      </c>
      <c r="B20" s="16" t="str">
        <f>IFERROR(VLOOKUP(A20,Info!A:L,4,0),"")</f>
        <v/>
      </c>
      <c r="C20" s="17" t="str">
        <f>IFERROR(VLOOKUP(A20,Info!A:L,3,0),"")</f>
        <v/>
      </c>
      <c r="D20" s="16" t="str">
        <f>IFERROR(VLOOKUP(A20,Info!A:L,5,0),"")</f>
        <v/>
      </c>
      <c r="E20" s="18" t="str">
        <f>IFERROR(VLOOKUP(A20,Info!A:L,6,0),"")</f>
        <v/>
      </c>
      <c r="F20" s="16" t="str">
        <f>IFERROR(VLOOKUP(A20,Info!A:L,9,0),"")</f>
        <v/>
      </c>
      <c r="G20" s="16" t="str">
        <f t="shared" si="0"/>
        <v/>
      </c>
      <c r="H20" s="19" t="str">
        <f>IFERROR(VLOOKUP(A20,Info!A:L,7,0),"")</f>
        <v/>
      </c>
      <c r="I20" s="20" t="str">
        <f>IFERROR(VLOOKUP(A20,Info!A:L,8,0),"")</f>
        <v/>
      </c>
      <c r="J20" s="21" t="str">
        <f>IFERROR(VLOOKUP(A20,Info!A:M,13,0),"")</f>
        <v/>
      </c>
      <c r="K20" s="19" t="str">
        <f t="shared" si="2"/>
        <v/>
      </c>
      <c r="L20" s="16"/>
      <c r="M20" s="22" t="str">
        <f>IFERROR(VLOOKUP(A20,Info!A:L,10,0),"")</f>
        <v/>
      </c>
      <c r="N20" s="16" t="str">
        <f>IFERROR(VLOOKUP(A20,Info!A:L,11,0),"")</f>
        <v/>
      </c>
    </row>
    <row r="21" spans="1:14" s="6" customFormat="1" ht="21" customHeight="1" x14ac:dyDescent="0.25">
      <c r="A21" s="16">
        <f t="shared" si="3"/>
        <v>14</v>
      </c>
      <c r="B21" s="16" t="str">
        <f>IFERROR(VLOOKUP(A21,Info!A:L,4,0),"")</f>
        <v/>
      </c>
      <c r="C21" s="17" t="str">
        <f>IFERROR(VLOOKUP(A21,Info!A:L,3,0),"")</f>
        <v/>
      </c>
      <c r="D21" s="16" t="str">
        <f>IFERROR(VLOOKUP(A21,Info!A:L,5,0),"")</f>
        <v/>
      </c>
      <c r="E21" s="18" t="str">
        <f>IFERROR(VLOOKUP(A21,Info!A:L,6,0),"")</f>
        <v/>
      </c>
      <c r="F21" s="16" t="str">
        <f>IFERROR(VLOOKUP(A21,Info!A:L,9,0),"")</f>
        <v/>
      </c>
      <c r="G21" s="16" t="str">
        <f t="shared" si="0"/>
        <v/>
      </c>
      <c r="H21" s="19" t="str">
        <f>IFERROR(VLOOKUP(A21,Info!A:L,7,0),"")</f>
        <v/>
      </c>
      <c r="I21" s="20" t="str">
        <f>IFERROR(VLOOKUP(A21,Info!A:L,8,0),"")</f>
        <v/>
      </c>
      <c r="J21" s="21" t="str">
        <f>IFERROR(VLOOKUP(A21,Info!A:M,13,0),"")</f>
        <v/>
      </c>
      <c r="K21" s="19" t="str">
        <f t="shared" si="2"/>
        <v/>
      </c>
      <c r="L21" s="16"/>
      <c r="M21" s="22" t="str">
        <f>IFERROR(VLOOKUP(A21,Info!A:L,10,0),"")</f>
        <v/>
      </c>
      <c r="N21" s="16" t="str">
        <f>IFERROR(VLOOKUP(A21,Info!A:L,11,0),"")</f>
        <v/>
      </c>
    </row>
    <row r="22" spans="1:14" s="6" customFormat="1" ht="21" customHeight="1" x14ac:dyDescent="0.25">
      <c r="A22" s="16">
        <f t="shared" si="3"/>
        <v>15</v>
      </c>
      <c r="B22" s="16" t="str">
        <f>IFERROR(VLOOKUP(A22,Info!A:L,4,0),"")</f>
        <v/>
      </c>
      <c r="C22" s="17" t="str">
        <f>IFERROR(VLOOKUP(A22,Info!A:L,3,0),"")</f>
        <v/>
      </c>
      <c r="D22" s="16" t="str">
        <f>IFERROR(VLOOKUP(A22,Info!A:L,5,0),"")</f>
        <v/>
      </c>
      <c r="E22" s="18" t="str">
        <f>IFERROR(VLOOKUP(A22,Info!A:L,6,0),"")</f>
        <v/>
      </c>
      <c r="F22" s="16" t="str">
        <f>IFERROR(VLOOKUP(A22,Info!A:L,9,0),"")</f>
        <v/>
      </c>
      <c r="G22" s="16" t="str">
        <f t="shared" si="0"/>
        <v/>
      </c>
      <c r="H22" s="19" t="str">
        <f>IFERROR(VLOOKUP(A22,Info!A:L,7,0),"")</f>
        <v/>
      </c>
      <c r="I22" s="20" t="str">
        <f>IFERROR(VLOOKUP(A22,Info!A:L,8,0),"")</f>
        <v/>
      </c>
      <c r="J22" s="21" t="str">
        <f>IFERROR(VLOOKUP(A22,Info!A:M,13,0),"")</f>
        <v/>
      </c>
      <c r="K22" s="19" t="str">
        <f t="shared" si="2"/>
        <v/>
      </c>
      <c r="L22" s="16"/>
      <c r="M22" s="22" t="str">
        <f>IFERROR(VLOOKUP(A22,Info!A:L,10,0),"")</f>
        <v/>
      </c>
      <c r="N22" s="16" t="str">
        <f>IFERROR(VLOOKUP(A22,Info!A:L,11,0),"")</f>
        <v/>
      </c>
    </row>
    <row r="23" spans="1:14" s="6" customFormat="1" ht="21" customHeight="1" x14ac:dyDescent="0.25">
      <c r="A23" s="16">
        <f t="shared" si="3"/>
        <v>16</v>
      </c>
      <c r="B23" s="16" t="str">
        <f>IFERROR(VLOOKUP(A23,Info!A:L,4,0),"")</f>
        <v/>
      </c>
      <c r="C23" s="17" t="str">
        <f>IFERROR(VLOOKUP(A23,Info!A:L,3,0),"")</f>
        <v/>
      </c>
      <c r="D23" s="16" t="str">
        <f>IFERROR(VLOOKUP(A23,Info!A:L,5,0),"")</f>
        <v/>
      </c>
      <c r="E23" s="18" t="str">
        <f>IFERROR(VLOOKUP(A23,Info!A:L,6,0),"")</f>
        <v/>
      </c>
      <c r="F23" s="16" t="str">
        <f>IFERROR(VLOOKUP(A23,Info!A:L,9,0),"")</f>
        <v/>
      </c>
      <c r="G23" s="16" t="str">
        <f t="shared" si="0"/>
        <v/>
      </c>
      <c r="H23" s="19" t="str">
        <f>IFERROR(VLOOKUP(A23,Info!A:L,7,0),"")</f>
        <v/>
      </c>
      <c r="I23" s="20" t="str">
        <f>IFERROR(VLOOKUP(A23,Info!A:L,8,0),"")</f>
        <v/>
      </c>
      <c r="J23" s="21" t="str">
        <f>IFERROR(VLOOKUP(A23,Info!A:M,13,0),"")</f>
        <v/>
      </c>
      <c r="K23" s="19" t="str">
        <f t="shared" si="2"/>
        <v/>
      </c>
      <c r="L23" s="16"/>
      <c r="M23" s="22" t="str">
        <f>IFERROR(VLOOKUP(A23,Info!A:L,10,0),"")</f>
        <v/>
      </c>
      <c r="N23" s="16" t="str">
        <f>IFERROR(VLOOKUP(A23,Info!A:L,11,0),"")</f>
        <v/>
      </c>
    </row>
    <row r="24" spans="1:14" s="6" customFormat="1" ht="21" customHeight="1" x14ac:dyDescent="0.25">
      <c r="A24" s="16">
        <f t="shared" si="3"/>
        <v>17</v>
      </c>
      <c r="B24" s="16" t="str">
        <f>IFERROR(VLOOKUP(A24,Info!A:L,4,0),"")</f>
        <v/>
      </c>
      <c r="C24" s="17" t="str">
        <f>IFERROR(VLOOKUP(A24,Info!A:L,3,0),"")</f>
        <v/>
      </c>
      <c r="D24" s="16" t="str">
        <f>IFERROR(VLOOKUP(A24,Info!A:L,5,0),"")</f>
        <v/>
      </c>
      <c r="E24" s="18" t="str">
        <f>IFERROR(VLOOKUP(A24,Info!A:L,6,0),"")</f>
        <v/>
      </c>
      <c r="F24" s="16" t="str">
        <f>IFERROR(VLOOKUP(A24,Info!A:L,9,0),"")</f>
        <v/>
      </c>
      <c r="G24" s="16" t="str">
        <f t="shared" si="0"/>
        <v/>
      </c>
      <c r="H24" s="19" t="str">
        <f>IFERROR(VLOOKUP(A24,Info!A:L,7,0),"")</f>
        <v/>
      </c>
      <c r="I24" s="20" t="str">
        <f>IFERROR(VLOOKUP(A24,Info!A:L,8,0),"")</f>
        <v/>
      </c>
      <c r="J24" s="21" t="str">
        <f>IFERROR(VLOOKUP(A24,Info!A:M,13,0),"")</f>
        <v/>
      </c>
      <c r="K24" s="19" t="str">
        <f t="shared" si="2"/>
        <v/>
      </c>
      <c r="L24" s="16"/>
      <c r="M24" s="22" t="str">
        <f>IFERROR(VLOOKUP(A24,Info!A:L,10,0),"")</f>
        <v/>
      </c>
      <c r="N24" s="16" t="str">
        <f>IFERROR(VLOOKUP(A24,Info!A:L,11,0),"")</f>
        <v/>
      </c>
    </row>
    <row r="25" spans="1:14" s="6" customFormat="1" ht="21" customHeight="1" x14ac:dyDescent="0.25">
      <c r="A25" s="16">
        <f t="shared" si="3"/>
        <v>18</v>
      </c>
      <c r="B25" s="16" t="str">
        <f>IFERROR(VLOOKUP(A25,Info!A:L,4,0),"")</f>
        <v/>
      </c>
      <c r="C25" s="17" t="str">
        <f>IFERROR(VLOOKUP(A25,Info!A:L,3,0),"")</f>
        <v/>
      </c>
      <c r="D25" s="16" t="str">
        <f>IFERROR(VLOOKUP(A25,Info!A:L,5,0),"")</f>
        <v/>
      </c>
      <c r="E25" s="18" t="str">
        <f>IFERROR(VLOOKUP(A25,Info!A:L,6,0),"")</f>
        <v/>
      </c>
      <c r="F25" s="16" t="str">
        <f>IFERROR(VLOOKUP(A25,Info!A:L,9,0),"")</f>
        <v/>
      </c>
      <c r="G25" s="16" t="str">
        <f t="shared" si="0"/>
        <v/>
      </c>
      <c r="H25" s="19" t="str">
        <f>IFERROR(VLOOKUP(A25,Info!A:L,7,0),"")</f>
        <v/>
      </c>
      <c r="I25" s="20" t="str">
        <f>IFERROR(VLOOKUP(A25,Info!A:L,8,0),"")</f>
        <v/>
      </c>
      <c r="J25" s="21" t="str">
        <f>IFERROR(VLOOKUP(A25,Info!A:M,13,0),"")</f>
        <v/>
      </c>
      <c r="K25" s="19" t="str">
        <f t="shared" si="2"/>
        <v/>
      </c>
      <c r="L25" s="16"/>
      <c r="M25" s="22" t="str">
        <f>IFERROR(VLOOKUP(A25,Info!A:L,10,0),"")</f>
        <v/>
      </c>
      <c r="N25" s="16" t="str">
        <f>IFERROR(VLOOKUP(A25,Info!A:L,11,0),"")</f>
        <v/>
      </c>
    </row>
    <row r="26" spans="1:14" s="6" customFormat="1" ht="21" customHeight="1" x14ac:dyDescent="0.25">
      <c r="A26" s="16">
        <f t="shared" si="3"/>
        <v>19</v>
      </c>
      <c r="B26" s="16" t="str">
        <f>IFERROR(VLOOKUP(A26,Info!A:L,4,0),"")</f>
        <v/>
      </c>
      <c r="C26" s="17" t="str">
        <f>IFERROR(VLOOKUP(A26,Info!A:L,3,0),"")</f>
        <v/>
      </c>
      <c r="D26" s="16" t="str">
        <f>IFERROR(VLOOKUP(A26,Info!A:L,5,0),"")</f>
        <v/>
      </c>
      <c r="E26" s="18" t="str">
        <f>IFERROR(VLOOKUP(A26,Info!A:L,6,0),"")</f>
        <v/>
      </c>
      <c r="F26" s="16" t="str">
        <f>IFERROR(VLOOKUP(A26,Info!A:L,9,0),"")</f>
        <v/>
      </c>
      <c r="G26" s="16" t="str">
        <f t="shared" si="0"/>
        <v/>
      </c>
      <c r="H26" s="19" t="str">
        <f>IFERROR(VLOOKUP(A26,Info!A:L,7,0),"")</f>
        <v/>
      </c>
      <c r="I26" s="20" t="str">
        <f>IFERROR(VLOOKUP(A26,Info!A:L,8,0),"")</f>
        <v/>
      </c>
      <c r="J26" s="21" t="str">
        <f>IFERROR(VLOOKUP(A26,Info!A:M,13,0),"")</f>
        <v/>
      </c>
      <c r="K26" s="19" t="str">
        <f t="shared" si="2"/>
        <v/>
      </c>
      <c r="L26" s="16"/>
      <c r="M26" s="22" t="str">
        <f>IFERROR(VLOOKUP(A26,Info!A:L,10,0),"")</f>
        <v/>
      </c>
      <c r="N26" s="16" t="str">
        <f>IFERROR(VLOOKUP(A26,Info!A:L,11,0),"")</f>
        <v/>
      </c>
    </row>
    <row r="27" spans="1:14" s="6" customFormat="1" ht="21" customHeight="1" x14ac:dyDescent="0.25">
      <c r="A27" s="16">
        <f t="shared" si="3"/>
        <v>20</v>
      </c>
      <c r="B27" s="16" t="str">
        <f>IFERROR(VLOOKUP(A27,Info!A:L,4,0),"")</f>
        <v/>
      </c>
      <c r="C27" s="17" t="str">
        <f>IFERROR(VLOOKUP(A27,Info!A:L,3,0),"")</f>
        <v/>
      </c>
      <c r="D27" s="16" t="str">
        <f>IFERROR(VLOOKUP(A27,Info!A:L,5,0),"")</f>
        <v/>
      </c>
      <c r="E27" s="18" t="str">
        <f>IFERROR(VLOOKUP(A27,Info!A:L,6,0),"")</f>
        <v/>
      </c>
      <c r="F27" s="16" t="str">
        <f>IFERROR(VLOOKUP(A27,Info!A:L,9,0),"")</f>
        <v/>
      </c>
      <c r="G27" s="16" t="str">
        <f t="shared" si="0"/>
        <v/>
      </c>
      <c r="H27" s="19" t="str">
        <f>IFERROR(VLOOKUP(A27,Info!A:L,7,0),"")</f>
        <v/>
      </c>
      <c r="I27" s="20" t="str">
        <f>IFERROR(VLOOKUP(A27,Info!A:L,8,0),"")</f>
        <v/>
      </c>
      <c r="J27" s="21" t="str">
        <f>IFERROR(VLOOKUP(A27,Info!A:M,13,0),"")</f>
        <v/>
      </c>
      <c r="K27" s="19" t="str">
        <f t="shared" si="2"/>
        <v/>
      </c>
      <c r="L27" s="16"/>
      <c r="M27" s="22" t="str">
        <f>IFERROR(VLOOKUP(A27,Info!A:L,10,0),"")</f>
        <v/>
      </c>
      <c r="N27" s="16" t="str">
        <f>IFERROR(VLOOKUP(A27,Info!A:L,11,0),"")</f>
        <v/>
      </c>
    </row>
    <row r="28" spans="1:14" s="6" customFormat="1" ht="21" customHeight="1" x14ac:dyDescent="0.25">
      <c r="A28" s="16">
        <f t="shared" si="3"/>
        <v>21</v>
      </c>
      <c r="B28" s="16" t="str">
        <f>IFERROR(VLOOKUP(A28,Info!A:L,4,0),"")</f>
        <v/>
      </c>
      <c r="C28" s="17" t="str">
        <f>IFERROR(VLOOKUP(A28,Info!A:L,3,0),"")</f>
        <v/>
      </c>
      <c r="D28" s="16" t="str">
        <f>IFERROR(VLOOKUP(A28,Info!A:L,5,0),"")</f>
        <v/>
      </c>
      <c r="E28" s="18" t="str">
        <f>IFERROR(VLOOKUP(A28,Info!A:L,6,0),"")</f>
        <v/>
      </c>
      <c r="F28" s="16" t="str">
        <f>IFERROR(VLOOKUP(A28,Info!A:L,9,0),"")</f>
        <v/>
      </c>
      <c r="G28" s="16" t="str">
        <f t="shared" si="0"/>
        <v/>
      </c>
      <c r="H28" s="19" t="str">
        <f>IFERROR(VLOOKUP(A28,Info!A:L,7,0),"")</f>
        <v/>
      </c>
      <c r="I28" s="20" t="str">
        <f>IFERROR(VLOOKUP(A28,Info!A:L,8,0),"")</f>
        <v/>
      </c>
      <c r="J28" s="21" t="str">
        <f>IFERROR(VLOOKUP(A28,Info!A:M,13,0),"")</f>
        <v/>
      </c>
      <c r="K28" s="19" t="str">
        <f t="shared" si="2"/>
        <v/>
      </c>
      <c r="L28" s="16"/>
      <c r="M28" s="22" t="str">
        <f>IFERROR(VLOOKUP(A28,Info!A:L,10,0),"")</f>
        <v/>
      </c>
      <c r="N28" s="16" t="str">
        <f>IFERROR(VLOOKUP(A28,Info!A:L,11,0),"")</f>
        <v/>
      </c>
    </row>
    <row r="29" spans="1:14" s="6" customFormat="1" ht="21" customHeight="1" x14ac:dyDescent="0.25">
      <c r="A29" s="16">
        <f t="shared" si="3"/>
        <v>22</v>
      </c>
      <c r="B29" s="16" t="str">
        <f>IFERROR(VLOOKUP(A29,Info!A:L,4,0),"")</f>
        <v/>
      </c>
      <c r="C29" s="17" t="str">
        <f>IFERROR(VLOOKUP(A29,Info!A:L,3,0),"")</f>
        <v/>
      </c>
      <c r="D29" s="16" t="str">
        <f>IFERROR(VLOOKUP(A29,Info!A:L,5,0),"")</f>
        <v/>
      </c>
      <c r="E29" s="18" t="str">
        <f>IFERROR(VLOOKUP(A29,Info!A:L,6,0),"")</f>
        <v/>
      </c>
      <c r="F29" s="16" t="str">
        <f>IFERROR(VLOOKUP(A29,Info!A:L,9,0),"")</f>
        <v/>
      </c>
      <c r="G29" s="16" t="str">
        <f t="shared" si="0"/>
        <v/>
      </c>
      <c r="H29" s="19" t="str">
        <f>IFERROR(VLOOKUP(A29,Info!A:L,7,0),"")</f>
        <v/>
      </c>
      <c r="I29" s="20" t="str">
        <f>IFERROR(VLOOKUP(A29,Info!A:L,8,0),"")</f>
        <v/>
      </c>
      <c r="J29" s="21" t="str">
        <f>IFERROR(VLOOKUP(A29,Info!A:M,13,0),"")</f>
        <v/>
      </c>
      <c r="K29" s="19" t="str">
        <f t="shared" si="2"/>
        <v/>
      </c>
      <c r="L29" s="16"/>
      <c r="M29" s="22" t="str">
        <f>IFERROR(VLOOKUP(A29,Info!A:L,10,0),"")</f>
        <v/>
      </c>
      <c r="N29" s="16" t="str">
        <f>IFERROR(VLOOKUP(A29,Info!A:L,11,0),"")</f>
        <v/>
      </c>
    </row>
    <row r="30" spans="1:14" s="6" customFormat="1" ht="21" customHeight="1" x14ac:dyDescent="0.25">
      <c r="A30" s="16">
        <f t="shared" si="3"/>
        <v>23</v>
      </c>
      <c r="B30" s="16" t="str">
        <f>IFERROR(VLOOKUP(A30,Info!A:L,4,0),"")</f>
        <v/>
      </c>
      <c r="C30" s="17" t="str">
        <f>IFERROR(VLOOKUP(A30,Info!A:L,3,0),"")</f>
        <v/>
      </c>
      <c r="D30" s="16" t="str">
        <f>IFERROR(VLOOKUP(A30,Info!A:L,5,0),"")</f>
        <v/>
      </c>
      <c r="E30" s="18" t="str">
        <f>IFERROR(VLOOKUP(A30,Info!A:L,6,0),"")</f>
        <v/>
      </c>
      <c r="F30" s="16" t="str">
        <f>IFERROR(VLOOKUP(A30,Info!A:L,9,0),"")</f>
        <v/>
      </c>
      <c r="G30" s="16" t="str">
        <f t="shared" si="0"/>
        <v/>
      </c>
      <c r="H30" s="19" t="str">
        <f>IFERROR(VLOOKUP(A30,Info!A:L,7,0),"")</f>
        <v/>
      </c>
      <c r="I30" s="20" t="str">
        <f>IFERROR(VLOOKUP(A30,Info!A:L,8,0),"")</f>
        <v/>
      </c>
      <c r="J30" s="21" t="str">
        <f>IFERROR(VLOOKUP(A30,Info!A:M,13,0),"")</f>
        <v/>
      </c>
      <c r="K30" s="19" t="str">
        <f t="shared" si="2"/>
        <v/>
      </c>
      <c r="L30" s="16"/>
      <c r="M30" s="22" t="str">
        <f>IFERROR(VLOOKUP(A30,Info!A:L,10,0),"")</f>
        <v/>
      </c>
      <c r="N30" s="16" t="str">
        <f>IFERROR(VLOOKUP(A30,Info!A:L,11,0),"")</f>
        <v/>
      </c>
    </row>
    <row r="31" spans="1:14" s="6" customFormat="1" ht="21" customHeight="1" x14ac:dyDescent="0.25">
      <c r="A31" s="16">
        <f t="shared" si="3"/>
        <v>24</v>
      </c>
      <c r="B31" s="16" t="str">
        <f>IFERROR(VLOOKUP(A31,Info!A:L,4,0),"")</f>
        <v/>
      </c>
      <c r="C31" s="17" t="str">
        <f>IFERROR(VLOOKUP(A31,Info!A:L,3,0),"")</f>
        <v/>
      </c>
      <c r="D31" s="16" t="str">
        <f>IFERROR(VLOOKUP(A31,Info!A:L,5,0),"")</f>
        <v/>
      </c>
      <c r="E31" s="18" t="str">
        <f>IFERROR(VLOOKUP(A31,Info!A:L,6,0),"")</f>
        <v/>
      </c>
      <c r="F31" s="16" t="str">
        <f>IFERROR(VLOOKUP(A31,Info!A:L,9,0),"")</f>
        <v/>
      </c>
      <c r="G31" s="16" t="str">
        <f t="shared" si="0"/>
        <v/>
      </c>
      <c r="H31" s="19" t="str">
        <f>IFERROR(VLOOKUP(A31,Info!A:L,7,0),"")</f>
        <v/>
      </c>
      <c r="I31" s="20" t="str">
        <f>IFERROR(VLOOKUP(A31,Info!A:L,8,0),"")</f>
        <v/>
      </c>
      <c r="J31" s="21" t="str">
        <f>IFERROR(VLOOKUP(A31,Info!A:M,13,0),"")</f>
        <v/>
      </c>
      <c r="K31" s="19" t="str">
        <f t="shared" si="2"/>
        <v/>
      </c>
      <c r="L31" s="16"/>
      <c r="M31" s="22" t="str">
        <f>IFERROR(VLOOKUP(A31,Info!A:L,10,0),"")</f>
        <v/>
      </c>
      <c r="N31" s="16" t="str">
        <f>IFERROR(VLOOKUP(A31,Info!A:L,11,0),"")</f>
        <v/>
      </c>
    </row>
    <row r="32" spans="1:14" s="6" customFormat="1" ht="21" customHeight="1" x14ac:dyDescent="0.25">
      <c r="A32" s="16">
        <f t="shared" si="3"/>
        <v>25</v>
      </c>
      <c r="B32" s="16" t="str">
        <f>IFERROR(VLOOKUP(A32,Info!A:L,4,0),"")</f>
        <v/>
      </c>
      <c r="C32" s="17" t="str">
        <f>IFERROR(VLOOKUP(A32,Info!A:L,3,0),"")</f>
        <v/>
      </c>
      <c r="D32" s="16" t="str">
        <f>IFERROR(VLOOKUP(A32,Info!A:L,5,0),"")</f>
        <v/>
      </c>
      <c r="E32" s="18" t="str">
        <f>IFERROR(VLOOKUP(A32,Info!A:L,6,0),"")</f>
        <v/>
      </c>
      <c r="F32" s="16" t="str">
        <f>IFERROR(VLOOKUP(A32,Info!A:L,9,0),"")</f>
        <v/>
      </c>
      <c r="G32" s="16" t="str">
        <f t="shared" si="0"/>
        <v/>
      </c>
      <c r="H32" s="19" t="str">
        <f>IFERROR(VLOOKUP(A32,Info!A:L,7,0),"")</f>
        <v/>
      </c>
      <c r="I32" s="20" t="str">
        <f>IFERROR(VLOOKUP(A32,Info!A:L,8,0),"")</f>
        <v/>
      </c>
      <c r="J32" s="21" t="str">
        <f>IFERROR(VLOOKUP(A32,Info!A:M,13,0),"")</f>
        <v/>
      </c>
      <c r="K32" s="19" t="str">
        <f t="shared" si="2"/>
        <v/>
      </c>
      <c r="L32" s="16"/>
      <c r="M32" s="22" t="str">
        <f>IFERROR(VLOOKUP(A32,Info!A:L,10,0),"")</f>
        <v/>
      </c>
      <c r="N32" s="16" t="str">
        <f>IFERROR(VLOOKUP(A32,Info!A:L,11,0),"")</f>
        <v/>
      </c>
    </row>
    <row r="33" spans="1:14" s="6" customFormat="1" ht="21" customHeight="1" x14ac:dyDescent="0.25">
      <c r="A33" s="16">
        <f t="shared" si="3"/>
        <v>26</v>
      </c>
      <c r="B33" s="16" t="str">
        <f>IFERROR(VLOOKUP(A33,Info!A:L,4,0),"")</f>
        <v/>
      </c>
      <c r="C33" s="17" t="str">
        <f>IFERROR(VLOOKUP(A33,Info!A:L,3,0),"")</f>
        <v/>
      </c>
      <c r="D33" s="16" t="str">
        <f>IFERROR(VLOOKUP(A33,Info!A:L,5,0),"")</f>
        <v/>
      </c>
      <c r="E33" s="18" t="str">
        <f>IFERROR(VLOOKUP(A33,Info!A:L,6,0),"")</f>
        <v/>
      </c>
      <c r="F33" s="16" t="str">
        <f>IFERROR(VLOOKUP(A33,Info!A:L,9,0),"")</f>
        <v/>
      </c>
      <c r="G33" s="16" t="str">
        <f t="shared" si="0"/>
        <v/>
      </c>
      <c r="H33" s="19" t="str">
        <f>IFERROR(VLOOKUP(A33,Info!A:L,7,0),"")</f>
        <v/>
      </c>
      <c r="I33" s="20" t="str">
        <f>IFERROR(VLOOKUP(A33,Info!A:L,8,0),"")</f>
        <v/>
      </c>
      <c r="J33" s="21" t="str">
        <f>IFERROR(VLOOKUP(A33,Info!A:M,13,0),"")</f>
        <v/>
      </c>
      <c r="K33" s="19" t="str">
        <f t="shared" si="2"/>
        <v/>
      </c>
      <c r="L33" s="16"/>
      <c r="M33" s="22" t="str">
        <f>IFERROR(VLOOKUP(A33,Info!A:L,10,0),"")</f>
        <v/>
      </c>
      <c r="N33" s="16" t="str">
        <f>IFERROR(VLOOKUP(A33,Info!A:L,11,0),"")</f>
        <v/>
      </c>
    </row>
    <row r="34" spans="1:14" s="6" customFormat="1" ht="21" customHeight="1" x14ac:dyDescent="0.25">
      <c r="A34" s="16">
        <f t="shared" si="3"/>
        <v>27</v>
      </c>
      <c r="B34" s="16" t="str">
        <f>IFERROR(VLOOKUP(A34,Info!A:L,4,0),"")</f>
        <v/>
      </c>
      <c r="C34" s="17" t="str">
        <f>IFERROR(VLOOKUP(A34,Info!A:L,3,0),"")</f>
        <v/>
      </c>
      <c r="D34" s="16" t="str">
        <f>IFERROR(VLOOKUP(A34,Info!A:L,5,0),"")</f>
        <v/>
      </c>
      <c r="E34" s="18" t="str">
        <f>IFERROR(VLOOKUP(A34,Info!A:L,6,0),"")</f>
        <v/>
      </c>
      <c r="F34" s="16" t="str">
        <f>IFERROR(VLOOKUP(A34,Info!A:L,9,0),"")</f>
        <v/>
      </c>
      <c r="G34" s="16" t="str">
        <f t="shared" si="0"/>
        <v/>
      </c>
      <c r="H34" s="19" t="str">
        <f>IFERROR(VLOOKUP(A34,Info!A:L,7,0),"")</f>
        <v/>
      </c>
      <c r="I34" s="20" t="str">
        <f>IFERROR(VLOOKUP(A34,Info!A:L,8,0),"")</f>
        <v/>
      </c>
      <c r="J34" s="21" t="str">
        <f>IFERROR(VLOOKUP(A34,Info!A:M,13,0),"")</f>
        <v/>
      </c>
      <c r="K34" s="19" t="str">
        <f t="shared" si="2"/>
        <v/>
      </c>
      <c r="L34" s="16"/>
      <c r="M34" s="22" t="str">
        <f>IFERROR(VLOOKUP(A34,Info!A:L,10,0),"")</f>
        <v/>
      </c>
      <c r="N34" s="16" t="str">
        <f>IFERROR(VLOOKUP(A34,Info!A:L,11,0),"")</f>
        <v/>
      </c>
    </row>
    <row r="35" spans="1:14" s="6" customFormat="1" ht="21" customHeight="1" x14ac:dyDescent="0.25">
      <c r="A35" s="16">
        <f t="shared" si="3"/>
        <v>28</v>
      </c>
      <c r="B35" s="16" t="str">
        <f>IFERROR(VLOOKUP(A35,Info!A:L,4,0),"")</f>
        <v/>
      </c>
      <c r="C35" s="17" t="str">
        <f>IFERROR(VLOOKUP(A35,Info!A:L,3,0),"")</f>
        <v/>
      </c>
      <c r="D35" s="16" t="str">
        <f>IFERROR(VLOOKUP(A35,Info!A:L,5,0),"")</f>
        <v/>
      </c>
      <c r="E35" s="18" t="str">
        <f>IFERROR(VLOOKUP(A35,Info!A:L,6,0),"")</f>
        <v/>
      </c>
      <c r="F35" s="16" t="str">
        <f>IFERROR(VLOOKUP(A35,Info!A:L,9,0),"")</f>
        <v/>
      </c>
      <c r="G35" s="16" t="str">
        <f t="shared" si="0"/>
        <v/>
      </c>
      <c r="H35" s="19" t="str">
        <f>IFERROR(VLOOKUP(A35,Info!A:L,7,0),"")</f>
        <v/>
      </c>
      <c r="I35" s="20" t="str">
        <f>IFERROR(VLOOKUP(A35,Info!A:L,8,0),"")</f>
        <v/>
      </c>
      <c r="J35" s="21" t="str">
        <f>IFERROR(VLOOKUP(A35,Info!A:M,13,0),"")</f>
        <v/>
      </c>
      <c r="K35" s="19" t="str">
        <f t="shared" si="2"/>
        <v/>
      </c>
      <c r="L35" s="16"/>
      <c r="M35" s="22" t="str">
        <f>IFERROR(VLOOKUP(A35,Info!A:L,10,0),"")</f>
        <v/>
      </c>
      <c r="N35" s="16" t="str">
        <f>IFERROR(VLOOKUP(A35,Info!A:L,11,0),"")</f>
        <v/>
      </c>
    </row>
    <row r="36" spans="1:14" s="6" customFormat="1" ht="21" customHeight="1" x14ac:dyDescent="0.25">
      <c r="A36" s="16">
        <f t="shared" si="3"/>
        <v>29</v>
      </c>
      <c r="B36" s="16" t="str">
        <f>IFERROR(VLOOKUP(A36,Info!A:L,4,0),"")</f>
        <v/>
      </c>
      <c r="C36" s="17" t="str">
        <f>IFERROR(VLOOKUP(A36,Info!A:L,3,0),"")</f>
        <v/>
      </c>
      <c r="D36" s="16" t="str">
        <f>IFERROR(VLOOKUP(A36,Info!A:L,5,0),"")</f>
        <v/>
      </c>
      <c r="E36" s="18" t="str">
        <f>IFERROR(VLOOKUP(A36,Info!A:L,6,0),"")</f>
        <v/>
      </c>
      <c r="F36" s="16" t="str">
        <f>IFERROR(VLOOKUP(A36,Info!A:L,9,0),"")</f>
        <v/>
      </c>
      <c r="G36" s="16" t="str">
        <f t="shared" si="0"/>
        <v/>
      </c>
      <c r="H36" s="19" t="str">
        <f>IFERROR(VLOOKUP(A36,Info!A:L,7,0),"")</f>
        <v/>
      </c>
      <c r="I36" s="20" t="str">
        <f>IFERROR(VLOOKUP(A36,Info!A:L,8,0),"")</f>
        <v/>
      </c>
      <c r="J36" s="21" t="str">
        <f>IFERROR(VLOOKUP(A36,Info!A:M,13,0),"")</f>
        <v/>
      </c>
      <c r="K36" s="19" t="str">
        <f t="shared" si="2"/>
        <v/>
      </c>
      <c r="L36" s="16"/>
      <c r="M36" s="22" t="str">
        <f>IFERROR(VLOOKUP(A36,Info!A:L,10,0),"")</f>
        <v/>
      </c>
      <c r="N36" s="16" t="str">
        <f>IFERROR(VLOOKUP(A36,Info!A:L,11,0),"")</f>
        <v/>
      </c>
    </row>
    <row r="37" spans="1:14" s="6" customFormat="1" ht="21" customHeight="1" x14ac:dyDescent="0.25">
      <c r="A37" s="16">
        <f t="shared" si="3"/>
        <v>30</v>
      </c>
      <c r="B37" s="16" t="str">
        <f>IFERROR(VLOOKUP(A37,Info!A:L,4,0),"")</f>
        <v/>
      </c>
      <c r="C37" s="17" t="str">
        <f>IFERROR(VLOOKUP(A37,Info!A:L,3,0),"")</f>
        <v/>
      </c>
      <c r="D37" s="16" t="str">
        <f>IFERROR(VLOOKUP(A37,Info!A:L,5,0),"")</f>
        <v/>
      </c>
      <c r="E37" s="18" t="str">
        <f>IFERROR(VLOOKUP(A37,Info!A:L,6,0),"")</f>
        <v/>
      </c>
      <c r="F37" s="16" t="str">
        <f>IFERROR(VLOOKUP(A37,Info!A:L,9,0),"")</f>
        <v/>
      </c>
      <c r="G37" s="16" t="str">
        <f t="shared" si="0"/>
        <v/>
      </c>
      <c r="H37" s="19" t="str">
        <f>IFERROR(VLOOKUP(A37,Info!A:L,7,0),"")</f>
        <v/>
      </c>
      <c r="I37" s="20" t="str">
        <f>IFERROR(VLOOKUP(A37,Info!A:L,8,0),"")</f>
        <v/>
      </c>
      <c r="J37" s="21" t="str">
        <f>IFERROR(VLOOKUP(A37,Info!A:M,13,0),"")</f>
        <v/>
      </c>
      <c r="K37" s="19" t="str">
        <f t="shared" si="2"/>
        <v/>
      </c>
      <c r="L37" s="16"/>
      <c r="M37" s="22" t="str">
        <f>IFERROR(VLOOKUP(A37,Info!A:L,10,0),"")</f>
        <v/>
      </c>
      <c r="N37" s="16" t="str">
        <f>IFERROR(VLOOKUP(A37,Info!A:L,11,0),"")</f>
        <v/>
      </c>
    </row>
    <row r="38" spans="1:14" s="6" customFormat="1" ht="21" customHeight="1" x14ac:dyDescent="0.25">
      <c r="A38" s="48" t="s">
        <v>22</v>
      </c>
      <c r="B38" s="48"/>
      <c r="C38" s="48"/>
      <c r="D38" s="48"/>
      <c r="E38" s="18">
        <f>SUM(E8:E37)</f>
        <v>0</v>
      </c>
      <c r="F38" s="16"/>
      <c r="G38" s="16">
        <f t="shared" ref="G38:L38" si="4">SUM(G8:G37)</f>
        <v>0</v>
      </c>
      <c r="H38" s="20">
        <f t="shared" si="4"/>
        <v>0</v>
      </c>
      <c r="I38" s="20">
        <f t="shared" si="4"/>
        <v>0</v>
      </c>
      <c r="J38" s="21">
        <f t="shared" si="4"/>
        <v>0</v>
      </c>
      <c r="K38" s="19">
        <f t="shared" si="4"/>
        <v>0</v>
      </c>
      <c r="L38" s="16">
        <f t="shared" si="4"/>
        <v>0</v>
      </c>
      <c r="M38" s="23"/>
      <c r="N38" s="24"/>
    </row>
    <row r="39" spans="1:14" x14ac:dyDescent="0.3">
      <c r="A39" s="49" t="s">
        <v>23</v>
      </c>
      <c r="B39" s="49"/>
      <c r="C39" s="50" t="s">
        <v>24</v>
      </c>
      <c r="D39" s="50"/>
      <c r="E39" s="25"/>
      <c r="F39" s="25"/>
      <c r="G39" s="26"/>
      <c r="H39" s="27"/>
      <c r="I39" s="28"/>
      <c r="J39" s="28"/>
      <c r="K39" s="28"/>
      <c r="L39" s="29"/>
    </row>
    <row r="40" spans="1:14" s="6" customFormat="1" ht="13.5" x14ac:dyDescent="0.25">
      <c r="E40" s="30"/>
      <c r="F40" s="30"/>
      <c r="G40" s="31"/>
      <c r="H40" s="32"/>
      <c r="I40" s="32"/>
      <c r="J40" s="32"/>
      <c r="K40" s="32"/>
      <c r="L40" s="33"/>
    </row>
    <row r="41" spans="1:14" x14ac:dyDescent="0.3">
      <c r="A41" s="34"/>
      <c r="B41" s="34"/>
      <c r="C41" s="27"/>
      <c r="D41" s="35"/>
      <c r="E41" s="35"/>
      <c r="F41" s="35"/>
      <c r="G41" s="36"/>
      <c r="H41" s="27"/>
      <c r="I41" s="27"/>
      <c r="J41" s="27"/>
      <c r="K41" s="27"/>
      <c r="L41" s="37"/>
    </row>
    <row r="42" spans="1:14" x14ac:dyDescent="0.3">
      <c r="A42" s="53"/>
      <c r="B42" s="53"/>
      <c r="C42" s="38"/>
      <c r="D42" s="35"/>
      <c r="E42" s="53"/>
      <c r="F42" s="53"/>
      <c r="G42" s="38"/>
      <c r="H42" s="27"/>
      <c r="I42" s="53"/>
      <c r="J42" s="53"/>
      <c r="K42" s="38"/>
      <c r="L42" s="37"/>
    </row>
    <row r="43" spans="1:14" x14ac:dyDescent="0.3">
      <c r="A43" s="34"/>
      <c r="B43" s="34"/>
      <c r="C43" s="27"/>
      <c r="D43" s="35"/>
      <c r="E43" s="35"/>
      <c r="F43" s="35"/>
      <c r="G43" s="36"/>
      <c r="H43" s="27"/>
      <c r="I43" s="27"/>
      <c r="J43" s="27"/>
      <c r="K43" s="27"/>
      <c r="L43" s="37"/>
    </row>
    <row r="44" spans="1:14" x14ac:dyDescent="0.3">
      <c r="A44" s="34"/>
      <c r="B44" s="34"/>
      <c r="C44" s="27"/>
      <c r="D44" s="35"/>
      <c r="E44" s="35"/>
      <c r="F44" s="35"/>
      <c r="G44" s="36"/>
      <c r="H44" s="27"/>
      <c r="I44" s="27"/>
      <c r="J44" s="27"/>
      <c r="K44" s="27"/>
      <c r="L44" s="37"/>
    </row>
    <row r="45" spans="1:14" x14ac:dyDescent="0.3">
      <c r="A45" s="39"/>
      <c r="B45" s="39"/>
      <c r="C45" s="28"/>
      <c r="D45" s="35"/>
      <c r="E45" s="25"/>
      <c r="F45" s="25"/>
      <c r="G45" s="26"/>
      <c r="H45" s="27"/>
      <c r="I45" s="28"/>
      <c r="J45" s="28"/>
      <c r="K45" s="28"/>
      <c r="L45" s="29"/>
    </row>
    <row r="46" spans="1:14" x14ac:dyDescent="0.3">
      <c r="A46" s="39"/>
      <c r="B46" s="39"/>
      <c r="C46" s="28"/>
      <c r="D46" s="35"/>
      <c r="E46" s="25"/>
      <c r="F46" s="25"/>
      <c r="G46" s="26"/>
      <c r="H46" s="27"/>
      <c r="I46" s="28"/>
      <c r="J46" s="28"/>
      <c r="K46" s="28"/>
      <c r="L46" s="29"/>
    </row>
    <row r="47" spans="1:14" x14ac:dyDescent="0.3">
      <c r="A47" s="39"/>
      <c r="B47" s="39"/>
      <c r="C47" s="28"/>
      <c r="D47" s="35"/>
      <c r="E47" s="25"/>
      <c r="F47" s="25"/>
      <c r="G47" s="26"/>
      <c r="H47" s="27"/>
      <c r="I47" s="28"/>
      <c r="J47" s="28"/>
      <c r="K47" s="28"/>
      <c r="L47" s="29"/>
    </row>
    <row r="48" spans="1:14" x14ac:dyDescent="0.3">
      <c r="A48" s="39"/>
      <c r="B48" s="39"/>
      <c r="C48" s="28"/>
      <c r="D48" s="35"/>
      <c r="E48" s="25"/>
      <c r="F48" s="25"/>
      <c r="G48" s="26"/>
      <c r="H48" s="27"/>
      <c r="I48" s="28"/>
      <c r="J48" s="28"/>
      <c r="K48" s="28"/>
      <c r="L48" s="29"/>
    </row>
    <row r="49" spans="1:12" x14ac:dyDescent="0.3">
      <c r="A49" s="39"/>
      <c r="B49" s="39"/>
      <c r="C49" s="28"/>
      <c r="D49" s="35"/>
      <c r="E49" s="25"/>
      <c r="F49" s="25"/>
      <c r="G49" s="26"/>
      <c r="H49" s="27"/>
      <c r="I49" s="28"/>
      <c r="J49" s="28"/>
      <c r="K49" s="28"/>
      <c r="L49" s="29"/>
    </row>
    <row r="50" spans="1:12" x14ac:dyDescent="0.3">
      <c r="A50" s="39"/>
      <c r="B50" s="39"/>
      <c r="C50" s="28"/>
      <c r="D50" s="35"/>
      <c r="E50" s="25"/>
      <c r="F50" s="25"/>
      <c r="G50" s="26"/>
      <c r="H50" s="27"/>
      <c r="I50" s="28"/>
      <c r="J50" s="28"/>
      <c r="K50" s="28"/>
      <c r="L50" s="29"/>
    </row>
    <row r="51" spans="1:12" x14ac:dyDescent="0.3">
      <c r="A51" s="39"/>
      <c r="B51" s="39"/>
      <c r="C51" s="28"/>
      <c r="D51" s="35"/>
      <c r="E51" s="25"/>
      <c r="F51" s="25"/>
      <c r="G51" s="26"/>
      <c r="H51" s="27"/>
      <c r="I51" s="28"/>
      <c r="J51" s="28"/>
      <c r="K51" s="28"/>
      <c r="L51" s="29"/>
    </row>
    <row r="52" spans="1:12" x14ac:dyDescent="0.3">
      <c r="A52" s="39"/>
      <c r="B52" s="39"/>
      <c r="C52" s="28"/>
      <c r="D52" s="35"/>
      <c r="E52" s="25"/>
      <c r="F52" s="25"/>
      <c r="G52" s="26"/>
      <c r="H52" s="27"/>
      <c r="I52" s="28"/>
      <c r="J52" s="28"/>
      <c r="K52" s="28"/>
      <c r="L52" s="29"/>
    </row>
    <row r="53" spans="1:12" x14ac:dyDescent="0.3">
      <c r="A53" s="39"/>
      <c r="B53" s="39"/>
      <c r="C53" s="28"/>
      <c r="D53" s="35"/>
      <c r="E53" s="25"/>
      <c r="F53" s="25"/>
      <c r="G53" s="26"/>
      <c r="H53" s="27"/>
      <c r="I53" s="28"/>
      <c r="J53" s="28"/>
      <c r="K53" s="28"/>
      <c r="L53" s="29"/>
    </row>
    <row r="54" spans="1:12" x14ac:dyDescent="0.3">
      <c r="A54" s="39"/>
      <c r="B54" s="39"/>
      <c r="C54" s="28"/>
      <c r="D54" s="35"/>
      <c r="E54" s="25"/>
      <c r="F54" s="25"/>
      <c r="G54" s="26"/>
      <c r="H54" s="27"/>
      <c r="I54" s="28"/>
      <c r="J54" s="28"/>
      <c r="K54" s="28"/>
      <c r="L54" s="29"/>
    </row>
    <row r="55" spans="1:12" x14ac:dyDescent="0.3">
      <c r="A55" s="39"/>
      <c r="B55" s="39"/>
      <c r="C55" s="28"/>
      <c r="D55" s="35"/>
      <c r="E55" s="25"/>
      <c r="F55" s="25"/>
      <c r="G55" s="26"/>
      <c r="H55" s="27"/>
      <c r="I55" s="28"/>
      <c r="J55" s="28"/>
      <c r="K55" s="28"/>
      <c r="L55" s="29"/>
    </row>
    <row r="56" spans="1:12" x14ac:dyDescent="0.3">
      <c r="A56" s="39"/>
      <c r="B56" s="39"/>
      <c r="C56" s="28"/>
      <c r="D56" s="35"/>
      <c r="E56" s="25"/>
      <c r="F56" s="25"/>
      <c r="G56" s="26"/>
      <c r="H56" s="27"/>
      <c r="I56" s="28"/>
      <c r="J56" s="28"/>
      <c r="K56" s="28"/>
      <c r="L56" s="29"/>
    </row>
    <row r="57" spans="1:12" x14ac:dyDescent="0.3">
      <c r="A57" s="39"/>
      <c r="B57" s="39"/>
      <c r="C57" s="28"/>
      <c r="D57" s="35"/>
      <c r="E57" s="25"/>
      <c r="F57" s="25"/>
      <c r="G57" s="26"/>
      <c r="H57" s="27"/>
      <c r="I57" s="28"/>
      <c r="J57" s="28"/>
      <c r="K57" s="28"/>
      <c r="L57" s="29"/>
    </row>
    <row r="58" spans="1:12" x14ac:dyDescent="0.3">
      <c r="A58" s="39"/>
      <c r="B58" s="39"/>
      <c r="C58" s="28"/>
      <c r="D58" s="35"/>
      <c r="E58" s="25"/>
      <c r="F58" s="25"/>
      <c r="G58" s="26"/>
      <c r="H58" s="27"/>
      <c r="I58" s="28"/>
      <c r="J58" s="28"/>
      <c r="K58" s="28"/>
      <c r="L58" s="29"/>
    </row>
    <row r="59" spans="1:12" x14ac:dyDescent="0.3">
      <c r="A59" s="39"/>
      <c r="B59" s="39"/>
      <c r="C59" s="28"/>
      <c r="D59" s="35"/>
      <c r="E59" s="25"/>
      <c r="F59" s="25"/>
      <c r="G59" s="26"/>
      <c r="H59" s="27"/>
      <c r="I59" s="28"/>
      <c r="J59" s="28"/>
      <c r="K59" s="28"/>
      <c r="L59" s="29"/>
    </row>
    <row r="60" spans="1:12" x14ac:dyDescent="0.3">
      <c r="A60" s="39"/>
      <c r="B60" s="39"/>
      <c r="C60" s="28"/>
      <c r="D60" s="35"/>
      <c r="E60" s="25"/>
      <c r="F60" s="25"/>
      <c r="G60" s="26"/>
      <c r="H60" s="27"/>
      <c r="I60" s="28"/>
      <c r="J60" s="28"/>
      <c r="K60" s="28"/>
      <c r="L60" s="29"/>
    </row>
    <row r="61" spans="1:12" x14ac:dyDescent="0.3">
      <c r="A61" s="39"/>
      <c r="B61" s="39"/>
      <c r="C61" s="28"/>
      <c r="D61" s="35"/>
      <c r="E61" s="25"/>
      <c r="F61" s="25"/>
      <c r="G61" s="26"/>
      <c r="H61" s="27"/>
      <c r="I61" s="28"/>
      <c r="J61" s="28"/>
      <c r="K61" s="28"/>
      <c r="L61" s="29"/>
    </row>
    <row r="62" spans="1:12" x14ac:dyDescent="0.3">
      <c r="A62" s="39"/>
      <c r="B62" s="39"/>
      <c r="C62" s="28"/>
      <c r="D62" s="35"/>
      <c r="E62" s="25"/>
      <c r="F62" s="25"/>
      <c r="G62" s="26"/>
      <c r="H62" s="27"/>
      <c r="I62" s="28"/>
      <c r="J62" s="28"/>
      <c r="K62" s="28"/>
      <c r="L62" s="29"/>
    </row>
    <row r="63" spans="1:12" x14ac:dyDescent="0.3">
      <c r="A63" s="39"/>
      <c r="B63" s="39"/>
      <c r="C63" s="28"/>
      <c r="D63" s="35"/>
      <c r="E63" s="25"/>
      <c r="F63" s="25"/>
      <c r="G63" s="26"/>
      <c r="H63" s="27"/>
      <c r="I63" s="28"/>
      <c r="J63" s="28"/>
      <c r="K63" s="28"/>
      <c r="L63" s="29"/>
    </row>
    <row r="64" spans="1:12" x14ac:dyDescent="0.3">
      <c r="A64" s="39"/>
      <c r="B64" s="39"/>
      <c r="C64" s="28"/>
      <c r="D64" s="35"/>
      <c r="E64" s="25"/>
      <c r="F64" s="25"/>
      <c r="G64" s="26"/>
      <c r="H64" s="27"/>
      <c r="I64" s="28"/>
      <c r="J64" s="28"/>
      <c r="K64" s="28"/>
      <c r="L64" s="29"/>
    </row>
    <row r="65" spans="1:12" x14ac:dyDescent="0.3">
      <c r="A65" s="39"/>
      <c r="B65" s="39"/>
      <c r="C65" s="28"/>
      <c r="D65" s="35"/>
      <c r="E65" s="25"/>
      <c r="F65" s="25"/>
      <c r="G65" s="26"/>
      <c r="H65" s="27"/>
      <c r="I65" s="28"/>
      <c r="J65" s="28"/>
      <c r="K65" s="28"/>
      <c r="L65" s="29"/>
    </row>
    <row r="66" spans="1:12" x14ac:dyDescent="0.3">
      <c r="A66" s="39"/>
      <c r="B66" s="39"/>
      <c r="C66" s="28"/>
      <c r="D66" s="35"/>
      <c r="E66" s="25"/>
      <c r="F66" s="25"/>
      <c r="G66" s="26"/>
      <c r="H66" s="27"/>
      <c r="I66" s="28"/>
      <c r="J66" s="28"/>
      <c r="K66" s="28"/>
      <c r="L66" s="29"/>
    </row>
    <row r="67" spans="1:12" x14ac:dyDescent="0.3">
      <c r="A67" s="39"/>
      <c r="B67" s="39"/>
      <c r="C67" s="28"/>
      <c r="D67" s="35"/>
      <c r="E67" s="25"/>
      <c r="F67" s="25"/>
      <c r="G67" s="26"/>
      <c r="H67" s="27"/>
      <c r="I67" s="28"/>
      <c r="J67" s="28"/>
      <c r="K67" s="28"/>
      <c r="L67" s="29"/>
    </row>
    <row r="68" spans="1:12" x14ac:dyDescent="0.3">
      <c r="A68" s="39"/>
      <c r="B68" s="39"/>
      <c r="C68" s="28"/>
      <c r="D68" s="35"/>
      <c r="E68" s="25"/>
      <c r="F68" s="25"/>
      <c r="G68" s="26"/>
      <c r="H68" s="27"/>
      <c r="I68" s="28"/>
      <c r="J68" s="28"/>
      <c r="K68" s="28"/>
      <c r="L68" s="29"/>
    </row>
    <row r="69" spans="1:12" x14ac:dyDescent="0.3">
      <c r="A69" s="39"/>
      <c r="B69" s="39"/>
      <c r="C69" s="28"/>
      <c r="D69" s="35"/>
      <c r="E69" s="25"/>
      <c r="F69" s="25"/>
      <c r="G69" s="26"/>
      <c r="H69" s="27"/>
      <c r="I69" s="28"/>
      <c r="J69" s="28"/>
      <c r="K69" s="28"/>
      <c r="L69" s="29"/>
    </row>
    <row r="70" spans="1:12" x14ac:dyDescent="0.3">
      <c r="A70" s="39"/>
      <c r="B70" s="39"/>
      <c r="C70" s="28"/>
      <c r="D70" s="35"/>
      <c r="E70" s="25"/>
      <c r="F70" s="25"/>
      <c r="G70" s="26"/>
      <c r="H70" s="27"/>
      <c r="I70" s="28"/>
      <c r="J70" s="28"/>
      <c r="K70" s="28"/>
      <c r="L70" s="29"/>
    </row>
    <row r="71" spans="1:12" x14ac:dyDescent="0.3">
      <c r="A71" s="39"/>
      <c r="B71" s="39"/>
      <c r="C71" s="28"/>
      <c r="D71" s="35"/>
      <c r="E71" s="25"/>
      <c r="F71" s="25"/>
      <c r="G71" s="26"/>
      <c r="H71" s="27"/>
      <c r="I71" s="28"/>
      <c r="J71" s="28"/>
      <c r="K71" s="28"/>
      <c r="L71" s="29"/>
    </row>
    <row r="72" spans="1:12" x14ac:dyDescent="0.3">
      <c r="A72" s="39"/>
      <c r="B72" s="39"/>
      <c r="C72" s="28"/>
      <c r="D72" s="35"/>
      <c r="E72" s="25"/>
      <c r="F72" s="25"/>
      <c r="G72" s="26"/>
      <c r="H72" s="27"/>
      <c r="I72" s="28"/>
      <c r="J72" s="28"/>
      <c r="K72" s="28"/>
      <c r="L72" s="29"/>
    </row>
    <row r="73" spans="1:12" x14ac:dyDescent="0.3">
      <c r="A73" s="39"/>
      <c r="B73" s="39"/>
      <c r="C73" s="28"/>
      <c r="D73" s="35"/>
      <c r="E73" s="25"/>
      <c r="F73" s="25"/>
      <c r="G73" s="26"/>
      <c r="H73" s="27"/>
      <c r="I73" s="28"/>
      <c r="J73" s="28"/>
      <c r="K73" s="28"/>
      <c r="L73" s="29"/>
    </row>
    <row r="74" spans="1:12" x14ac:dyDescent="0.3">
      <c r="A74" s="39"/>
      <c r="B74" s="39"/>
      <c r="C74" s="28"/>
      <c r="D74" s="35"/>
      <c r="E74" s="25"/>
      <c r="F74" s="25"/>
      <c r="G74" s="26"/>
      <c r="H74" s="27"/>
      <c r="I74" s="28"/>
      <c r="J74" s="28"/>
      <c r="K74" s="28"/>
      <c r="L74" s="29"/>
    </row>
    <row r="75" spans="1:12" x14ac:dyDescent="0.3">
      <c r="A75" s="39"/>
      <c r="B75" s="39"/>
      <c r="C75" s="28"/>
      <c r="D75" s="35"/>
      <c r="E75" s="25"/>
      <c r="F75" s="25"/>
      <c r="G75" s="26"/>
      <c r="H75" s="27"/>
      <c r="I75" s="28"/>
      <c r="J75" s="28"/>
      <c r="K75" s="28"/>
      <c r="L75" s="29"/>
    </row>
    <row r="76" spans="1:12" x14ac:dyDescent="0.3">
      <c r="A76" s="39"/>
      <c r="B76" s="39"/>
      <c r="C76" s="28"/>
      <c r="D76" s="35"/>
      <c r="E76" s="25"/>
      <c r="F76" s="25"/>
      <c r="G76" s="26"/>
      <c r="H76" s="27"/>
      <c r="I76" s="28"/>
      <c r="J76" s="28"/>
      <c r="K76" s="28"/>
      <c r="L76" s="29"/>
    </row>
    <row r="77" spans="1:12" x14ac:dyDescent="0.3">
      <c r="A77" s="39"/>
      <c r="B77" s="39"/>
      <c r="C77" s="28"/>
      <c r="D77" s="35"/>
      <c r="E77" s="25"/>
      <c r="F77" s="25"/>
      <c r="G77" s="26"/>
      <c r="H77" s="27"/>
      <c r="I77" s="28"/>
      <c r="J77" s="28"/>
      <c r="K77" s="28"/>
      <c r="L77" s="29"/>
    </row>
    <row r="78" spans="1:12" x14ac:dyDescent="0.3">
      <c r="A78" s="39"/>
      <c r="B78" s="39"/>
      <c r="C78" s="28"/>
      <c r="D78" s="35"/>
      <c r="E78" s="25"/>
      <c r="F78" s="25"/>
      <c r="G78" s="26"/>
      <c r="H78" s="27"/>
      <c r="I78" s="28"/>
      <c r="J78" s="28"/>
      <c r="K78" s="28"/>
      <c r="L78" s="29"/>
    </row>
    <row r="79" spans="1:12" x14ac:dyDescent="0.3">
      <c r="A79" s="39"/>
      <c r="B79" s="39"/>
      <c r="C79" s="28"/>
      <c r="D79" s="35"/>
      <c r="E79" s="25"/>
      <c r="F79" s="25"/>
      <c r="G79" s="26"/>
      <c r="H79" s="27"/>
      <c r="I79" s="28"/>
      <c r="J79" s="28"/>
      <c r="K79" s="28"/>
      <c r="L79" s="29"/>
    </row>
    <row r="80" spans="1:12" x14ac:dyDescent="0.3">
      <c r="A80" s="39"/>
      <c r="B80" s="39"/>
      <c r="C80" s="28"/>
      <c r="D80" s="35"/>
      <c r="E80" s="25"/>
      <c r="F80" s="25"/>
      <c r="G80" s="26"/>
      <c r="H80" s="27"/>
      <c r="I80" s="28"/>
      <c r="J80" s="28"/>
      <c r="K80" s="28"/>
      <c r="L80" s="29"/>
    </row>
    <row r="81" spans="1:12" x14ac:dyDescent="0.3">
      <c r="A81" s="39"/>
      <c r="B81" s="39"/>
      <c r="C81" s="28"/>
      <c r="D81" s="35"/>
      <c r="E81" s="25"/>
      <c r="F81" s="25"/>
      <c r="G81" s="26"/>
      <c r="H81" s="27"/>
      <c r="I81" s="28"/>
      <c r="J81" s="28"/>
      <c r="K81" s="28"/>
      <c r="L81" s="29"/>
    </row>
    <row r="82" spans="1:12" x14ac:dyDescent="0.3">
      <c r="A82" s="39"/>
      <c r="B82" s="39"/>
      <c r="C82" s="28"/>
      <c r="D82" s="35"/>
      <c r="E82" s="25"/>
      <c r="F82" s="25"/>
      <c r="G82" s="26"/>
      <c r="H82" s="27"/>
      <c r="I82" s="28"/>
      <c r="J82" s="28"/>
      <c r="K82" s="28"/>
      <c r="L82" s="29"/>
    </row>
    <row r="83" spans="1:12" x14ac:dyDescent="0.3">
      <c r="A83" s="39"/>
      <c r="B83" s="39"/>
      <c r="C83" s="28"/>
      <c r="D83" s="35"/>
      <c r="E83" s="25"/>
      <c r="F83" s="25"/>
      <c r="G83" s="26"/>
      <c r="H83" s="27"/>
      <c r="I83" s="28"/>
      <c r="J83" s="28"/>
      <c r="K83" s="28"/>
      <c r="L83" s="29"/>
    </row>
    <row r="84" spans="1:12" x14ac:dyDescent="0.3">
      <c r="A84" s="39"/>
      <c r="B84" s="39"/>
      <c r="C84" s="28"/>
      <c r="D84" s="35"/>
      <c r="E84" s="25"/>
      <c r="F84" s="25"/>
      <c r="G84" s="26"/>
      <c r="H84" s="27"/>
      <c r="I84" s="28"/>
      <c r="J84" s="28"/>
      <c r="K84" s="28"/>
      <c r="L84" s="29"/>
    </row>
    <row r="85" spans="1:12" x14ac:dyDescent="0.3">
      <c r="A85" s="39"/>
      <c r="B85" s="39"/>
      <c r="C85" s="28"/>
      <c r="D85" s="35"/>
      <c r="E85" s="25"/>
      <c r="F85" s="25"/>
      <c r="G85" s="26"/>
      <c r="H85" s="27"/>
      <c r="I85" s="28"/>
      <c r="J85" s="28"/>
      <c r="K85" s="28"/>
      <c r="L85" s="29"/>
    </row>
    <row r="86" spans="1:12" x14ac:dyDescent="0.3">
      <c r="A86" s="39"/>
      <c r="B86" s="39"/>
      <c r="C86" s="28"/>
      <c r="D86" s="35"/>
      <c r="E86" s="25"/>
      <c r="F86" s="25"/>
      <c r="G86" s="26"/>
      <c r="H86" s="27"/>
      <c r="I86" s="28"/>
      <c r="J86" s="28"/>
      <c r="K86" s="28"/>
      <c r="L86" s="29"/>
    </row>
    <row r="87" spans="1:12" x14ac:dyDescent="0.3">
      <c r="A87" s="39"/>
      <c r="B87" s="39"/>
      <c r="C87" s="28"/>
      <c r="D87" s="35"/>
      <c r="E87" s="25"/>
      <c r="F87" s="25"/>
      <c r="G87" s="26"/>
      <c r="H87" s="27"/>
      <c r="I87" s="28"/>
      <c r="J87" s="28"/>
      <c r="K87" s="28"/>
      <c r="L87" s="29"/>
    </row>
    <row r="88" spans="1:12" x14ac:dyDescent="0.3">
      <c r="A88" s="39"/>
      <c r="B88" s="39"/>
      <c r="C88" s="28"/>
      <c r="D88" s="35"/>
      <c r="E88" s="25"/>
      <c r="F88" s="25"/>
      <c r="G88" s="26"/>
      <c r="H88" s="27"/>
      <c r="I88" s="28"/>
      <c r="J88" s="28"/>
      <c r="K88" s="28"/>
      <c r="L88" s="29"/>
    </row>
    <row r="89" spans="1:12" x14ac:dyDescent="0.3">
      <c r="A89" s="39"/>
      <c r="B89" s="39"/>
      <c r="C89" s="28"/>
      <c r="D89" s="35"/>
      <c r="E89" s="25"/>
      <c r="F89" s="25"/>
      <c r="G89" s="26"/>
      <c r="H89" s="27"/>
      <c r="I89" s="28"/>
      <c r="J89" s="28"/>
      <c r="K89" s="28"/>
      <c r="L89" s="29"/>
    </row>
    <row r="90" spans="1:12" x14ac:dyDescent="0.3">
      <c r="A90" s="39"/>
      <c r="B90" s="39"/>
      <c r="C90" s="28"/>
      <c r="D90" s="35"/>
      <c r="E90" s="25"/>
      <c r="F90" s="25"/>
      <c r="G90" s="26"/>
      <c r="H90" s="27"/>
      <c r="I90" s="28"/>
      <c r="J90" s="28"/>
      <c r="K90" s="28"/>
      <c r="L90" s="29"/>
    </row>
    <row r="91" spans="1:12" x14ac:dyDescent="0.3">
      <c r="A91" s="39"/>
      <c r="B91" s="39"/>
      <c r="C91" s="28"/>
      <c r="D91" s="35"/>
      <c r="E91" s="25"/>
      <c r="F91" s="25"/>
      <c r="G91" s="26"/>
      <c r="H91" s="27"/>
      <c r="I91" s="28"/>
      <c r="J91" s="28"/>
      <c r="K91" s="28"/>
      <c r="L91" s="29"/>
    </row>
    <row r="92" spans="1:12" x14ac:dyDescent="0.3">
      <c r="A92" s="39"/>
      <c r="B92" s="39"/>
      <c r="C92" s="28"/>
      <c r="D92" s="35"/>
      <c r="E92" s="25"/>
      <c r="F92" s="25"/>
      <c r="G92" s="26"/>
      <c r="H92" s="27"/>
      <c r="I92" s="28"/>
      <c r="J92" s="28"/>
      <c r="K92" s="28"/>
      <c r="L92" s="29"/>
    </row>
    <row r="93" spans="1:12" x14ac:dyDescent="0.3">
      <c r="A93" s="39"/>
      <c r="B93" s="39"/>
      <c r="C93" s="28"/>
      <c r="D93" s="35"/>
      <c r="E93" s="25"/>
      <c r="F93" s="25"/>
      <c r="G93" s="26"/>
      <c r="H93" s="27"/>
      <c r="I93" s="28"/>
      <c r="J93" s="28"/>
      <c r="K93" s="28"/>
      <c r="L93" s="29"/>
    </row>
    <row r="94" spans="1:12" x14ac:dyDescent="0.3">
      <c r="A94" s="39"/>
      <c r="B94" s="39"/>
      <c r="C94" s="28"/>
      <c r="D94" s="35"/>
      <c r="E94" s="25"/>
      <c r="F94" s="25"/>
      <c r="G94" s="26"/>
      <c r="H94" s="27"/>
      <c r="I94" s="28"/>
      <c r="J94" s="28"/>
      <c r="K94" s="28"/>
      <c r="L94" s="29"/>
    </row>
    <row r="95" spans="1:12" x14ac:dyDescent="0.3">
      <c r="A95" s="39"/>
      <c r="B95" s="39"/>
      <c r="C95" s="28"/>
      <c r="D95" s="35"/>
      <c r="E95" s="25"/>
      <c r="F95" s="25"/>
      <c r="G95" s="26"/>
      <c r="H95" s="27"/>
      <c r="I95" s="28"/>
      <c r="J95" s="28"/>
      <c r="K95" s="28"/>
      <c r="L95" s="29"/>
    </row>
    <row r="96" spans="1:12" x14ac:dyDescent="0.3">
      <c r="A96" s="39"/>
      <c r="B96" s="39"/>
      <c r="C96" s="28"/>
      <c r="D96" s="35"/>
      <c r="E96" s="25"/>
      <c r="F96" s="25"/>
      <c r="G96" s="26"/>
      <c r="H96" s="27"/>
      <c r="I96" s="28"/>
      <c r="J96" s="28"/>
      <c r="K96" s="28"/>
      <c r="L96" s="29"/>
    </row>
    <row r="97" spans="1:12" x14ac:dyDescent="0.3">
      <c r="A97" s="39"/>
      <c r="B97" s="39"/>
      <c r="C97" s="28"/>
      <c r="D97" s="35"/>
      <c r="E97" s="25"/>
      <c r="F97" s="25"/>
      <c r="G97" s="26"/>
      <c r="H97" s="27"/>
      <c r="I97" s="28"/>
      <c r="J97" s="28"/>
      <c r="K97" s="28"/>
      <c r="L97" s="29"/>
    </row>
    <row r="98" spans="1:12" x14ac:dyDescent="0.3">
      <c r="C98" s="40"/>
      <c r="E98" s="40"/>
      <c r="F98" s="40"/>
      <c r="G98" s="42"/>
      <c r="H98" s="37"/>
      <c r="I98" s="40"/>
      <c r="J98" s="40"/>
      <c r="K98" s="29"/>
      <c r="L98" s="29"/>
    </row>
    <row r="99" spans="1:12" x14ac:dyDescent="0.3">
      <c r="C99" s="40"/>
      <c r="E99" s="40"/>
      <c r="F99" s="40"/>
      <c r="G99" s="42"/>
      <c r="H99" s="37"/>
      <c r="I99" s="40"/>
      <c r="J99" s="40"/>
      <c r="K99" s="29"/>
      <c r="L99" s="29"/>
    </row>
  </sheetData>
  <mergeCells count="28">
    <mergeCell ref="A4:C4"/>
    <mergeCell ref="F4:G4"/>
    <mergeCell ref="K4:L4"/>
    <mergeCell ref="A1:N1"/>
    <mergeCell ref="A2:N2"/>
    <mergeCell ref="A3:C3"/>
    <mergeCell ref="F3:G3"/>
    <mergeCell ref="K3:L3"/>
    <mergeCell ref="A42:B42"/>
    <mergeCell ref="E42:F42"/>
    <mergeCell ref="I42:J42"/>
    <mergeCell ref="G6:G7"/>
    <mergeCell ref="H6:H7"/>
    <mergeCell ref="I6:I7"/>
    <mergeCell ref="J6:J7"/>
    <mergeCell ref="A6:A7"/>
    <mergeCell ref="B6:B7"/>
    <mergeCell ref="C6:C7"/>
    <mergeCell ref="D6:D7"/>
    <mergeCell ref="E6:E7"/>
    <mergeCell ref="F6:F7"/>
    <mergeCell ref="M6:M7"/>
    <mergeCell ref="N6:N7"/>
    <mergeCell ref="A38:D38"/>
    <mergeCell ref="A39:B39"/>
    <mergeCell ref="C39:D39"/>
    <mergeCell ref="K6:K7"/>
    <mergeCell ref="L6:L7"/>
  </mergeCells>
  <pageMargins left="0.23622047244094491" right="0.23622047244094491" top="0.15748031496062992" bottom="0.15748031496062992" header="0.11811023622047245" footer="0.11811023622047245"/>
  <pageSetup scale="75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41"/>
  <sheetViews>
    <sheetView workbookViewId="0">
      <selection activeCell="C2" sqref="C2:C41"/>
    </sheetView>
  </sheetViews>
  <sheetFormatPr defaultColWidth="11.42578125" defaultRowHeight="15" x14ac:dyDescent="0.25"/>
  <cols>
    <col min="2" max="2" width="14.5703125" bestFit="1" customWidth="1"/>
  </cols>
  <sheetData>
    <row r="1" spans="1:3" x14ac:dyDescent="0.25">
      <c r="A1" t="s">
        <v>1</v>
      </c>
      <c r="B1" t="s">
        <v>3</v>
      </c>
    </row>
    <row r="2" spans="1:3" x14ac:dyDescent="0.25">
      <c r="A2">
        <v>201</v>
      </c>
      <c r="B2" t="s">
        <v>4</v>
      </c>
      <c r="C2" t="str">
        <f>+"INSERT INTO divisiones (zona, division) values("&amp;A2&amp;",'"&amp;B2&amp;"');"</f>
        <v>INSERT INTO divisiones (zona, division) values(201,'OLIVO');</v>
      </c>
    </row>
    <row r="3" spans="1:3" x14ac:dyDescent="0.25">
      <c r="A3">
        <v>202</v>
      </c>
      <c r="B3" t="s">
        <v>4</v>
      </c>
      <c r="C3" t="str">
        <f t="shared" ref="C3:C41" si="0">+"INSERT INTO divisiones (zona, division) values("&amp;A3&amp;",'"&amp;B3&amp;"');"</f>
        <v>INSERT INTO divisiones (zona, division) values(202,'OLIVO');</v>
      </c>
    </row>
    <row r="4" spans="1:3" x14ac:dyDescent="0.25">
      <c r="A4">
        <v>203</v>
      </c>
      <c r="B4" t="s">
        <v>5</v>
      </c>
      <c r="C4" t="str">
        <f t="shared" si="0"/>
        <v>INSERT INTO divisiones (zona, division) values(203,'MAQUILISHUAT');</v>
      </c>
    </row>
    <row r="5" spans="1:3" x14ac:dyDescent="0.25">
      <c r="A5">
        <v>204</v>
      </c>
      <c r="B5" t="s">
        <v>4</v>
      </c>
      <c r="C5" t="str">
        <f t="shared" si="0"/>
        <v>INSERT INTO divisiones (zona, division) values(204,'OLIVO');</v>
      </c>
    </row>
    <row r="6" spans="1:3" x14ac:dyDescent="0.25">
      <c r="A6">
        <v>205</v>
      </c>
      <c r="B6" t="s">
        <v>6</v>
      </c>
      <c r="C6" t="str">
        <f t="shared" si="0"/>
        <v>INSERT INTO divisiones (zona, division) values(205,'ARAUCARIA');</v>
      </c>
    </row>
    <row r="7" spans="1:3" x14ac:dyDescent="0.25">
      <c r="A7">
        <v>206</v>
      </c>
      <c r="B7" t="s">
        <v>4</v>
      </c>
      <c r="C7" t="str">
        <f t="shared" si="0"/>
        <v>INSERT INTO divisiones (zona, division) values(206,'OLIVO');</v>
      </c>
    </row>
    <row r="8" spans="1:3" x14ac:dyDescent="0.25">
      <c r="A8">
        <v>207</v>
      </c>
      <c r="B8" t="s">
        <v>6</v>
      </c>
      <c r="C8" t="str">
        <f t="shared" si="0"/>
        <v>INSERT INTO divisiones (zona, division) values(207,'ARAUCARIA');</v>
      </c>
    </row>
    <row r="9" spans="1:3" x14ac:dyDescent="0.25">
      <c r="A9">
        <v>208</v>
      </c>
      <c r="B9" t="s">
        <v>4</v>
      </c>
      <c r="C9" t="str">
        <f t="shared" si="0"/>
        <v>INSERT INTO divisiones (zona, division) values(208,'OLIVO');</v>
      </c>
    </row>
    <row r="10" spans="1:3" x14ac:dyDescent="0.25">
      <c r="A10">
        <v>209</v>
      </c>
      <c r="B10" t="s">
        <v>5</v>
      </c>
      <c r="C10" t="str">
        <f t="shared" si="0"/>
        <v>INSERT INTO divisiones (zona, division) values(209,'MAQUILISHUAT');</v>
      </c>
    </row>
    <row r="11" spans="1:3" x14ac:dyDescent="0.25">
      <c r="A11">
        <v>210</v>
      </c>
      <c r="B11" t="s">
        <v>6</v>
      </c>
      <c r="C11" t="str">
        <f t="shared" si="0"/>
        <v>INSERT INTO divisiones (zona, division) values(210,'ARAUCARIA');</v>
      </c>
    </row>
    <row r="12" spans="1:3" x14ac:dyDescent="0.25">
      <c r="A12">
        <v>211</v>
      </c>
      <c r="B12" t="s">
        <v>6</v>
      </c>
      <c r="C12" t="str">
        <f t="shared" si="0"/>
        <v>INSERT INTO divisiones (zona, division) values(211,'ARAUCARIA');</v>
      </c>
    </row>
    <row r="13" spans="1:3" x14ac:dyDescent="0.25">
      <c r="A13">
        <v>212</v>
      </c>
      <c r="B13" t="s">
        <v>6</v>
      </c>
      <c r="C13" t="str">
        <f t="shared" si="0"/>
        <v>INSERT INTO divisiones (zona, division) values(212,'ARAUCARIA');</v>
      </c>
    </row>
    <row r="14" spans="1:3" x14ac:dyDescent="0.25">
      <c r="A14">
        <v>213</v>
      </c>
      <c r="B14" t="s">
        <v>5</v>
      </c>
      <c r="C14" t="str">
        <f t="shared" si="0"/>
        <v>INSERT INTO divisiones (zona, division) values(213,'MAQUILISHUAT');</v>
      </c>
    </row>
    <row r="15" spans="1:3" x14ac:dyDescent="0.25">
      <c r="A15">
        <v>214</v>
      </c>
      <c r="B15" t="s">
        <v>5</v>
      </c>
      <c r="C15" t="str">
        <f t="shared" si="0"/>
        <v>INSERT INTO divisiones (zona, division) values(214,'MAQUILISHUAT');</v>
      </c>
    </row>
    <row r="16" spans="1:3" x14ac:dyDescent="0.25">
      <c r="A16">
        <v>215</v>
      </c>
      <c r="B16" t="s">
        <v>5</v>
      </c>
      <c r="C16" t="str">
        <f t="shared" si="0"/>
        <v>INSERT INTO divisiones (zona, division) values(215,'MAQUILISHUAT');</v>
      </c>
    </row>
    <row r="17" spans="1:3" x14ac:dyDescent="0.25">
      <c r="A17">
        <v>216</v>
      </c>
      <c r="B17" t="s">
        <v>6</v>
      </c>
      <c r="C17" t="str">
        <f t="shared" si="0"/>
        <v>INSERT INTO divisiones (zona, division) values(216,'ARAUCARIA');</v>
      </c>
    </row>
    <row r="18" spans="1:3" x14ac:dyDescent="0.25">
      <c r="A18">
        <v>217</v>
      </c>
      <c r="B18" t="s">
        <v>4</v>
      </c>
      <c r="C18" t="str">
        <f t="shared" si="0"/>
        <v>INSERT INTO divisiones (zona, division) values(217,'OLIVO');</v>
      </c>
    </row>
    <row r="19" spans="1:3" x14ac:dyDescent="0.25">
      <c r="A19">
        <v>218</v>
      </c>
      <c r="B19" t="s">
        <v>4</v>
      </c>
      <c r="C19" t="str">
        <f t="shared" si="0"/>
        <v>INSERT INTO divisiones (zona, division) values(218,'OLIVO');</v>
      </c>
    </row>
    <row r="20" spans="1:3" x14ac:dyDescent="0.25">
      <c r="A20">
        <v>219</v>
      </c>
      <c r="B20" t="s">
        <v>5</v>
      </c>
      <c r="C20" t="str">
        <f t="shared" si="0"/>
        <v>INSERT INTO divisiones (zona, division) values(219,'MAQUILISHUAT');</v>
      </c>
    </row>
    <row r="21" spans="1:3" x14ac:dyDescent="0.25">
      <c r="A21">
        <v>220</v>
      </c>
      <c r="B21" t="s">
        <v>5</v>
      </c>
      <c r="C21" t="str">
        <f t="shared" si="0"/>
        <v>INSERT INTO divisiones (zona, division) values(220,'MAQUILISHUAT');</v>
      </c>
    </row>
    <row r="22" spans="1:3" x14ac:dyDescent="0.25">
      <c r="A22">
        <v>221</v>
      </c>
      <c r="B22" t="s">
        <v>4</v>
      </c>
      <c r="C22" t="str">
        <f t="shared" si="0"/>
        <v>INSERT INTO divisiones (zona, division) values(221,'OLIVO');</v>
      </c>
    </row>
    <row r="23" spans="1:3" x14ac:dyDescent="0.25">
      <c r="A23">
        <v>222</v>
      </c>
      <c r="B23" t="s">
        <v>6</v>
      </c>
      <c r="C23" t="str">
        <f t="shared" si="0"/>
        <v>INSERT INTO divisiones (zona, division) values(222,'ARAUCARIA');</v>
      </c>
    </row>
    <row r="24" spans="1:3" x14ac:dyDescent="0.25">
      <c r="A24">
        <v>223</v>
      </c>
      <c r="B24" t="s">
        <v>6</v>
      </c>
      <c r="C24" t="str">
        <f t="shared" si="0"/>
        <v>INSERT INTO divisiones (zona, division) values(223,'ARAUCARIA');</v>
      </c>
    </row>
    <row r="25" spans="1:3" x14ac:dyDescent="0.25">
      <c r="A25">
        <v>224</v>
      </c>
      <c r="B25" t="s">
        <v>5</v>
      </c>
      <c r="C25" t="str">
        <f t="shared" si="0"/>
        <v>INSERT INTO divisiones (zona, division) values(224,'MAQUILISHUAT');</v>
      </c>
    </row>
    <row r="26" spans="1:3" x14ac:dyDescent="0.25">
      <c r="A26">
        <v>225</v>
      </c>
      <c r="B26" t="s">
        <v>5</v>
      </c>
      <c r="C26" t="str">
        <f t="shared" si="0"/>
        <v>INSERT INTO divisiones (zona, division) values(225,'MAQUILISHUAT');</v>
      </c>
    </row>
    <row r="27" spans="1:3" x14ac:dyDescent="0.25">
      <c r="A27">
        <v>226</v>
      </c>
      <c r="B27" t="s">
        <v>4</v>
      </c>
      <c r="C27" t="str">
        <f t="shared" si="0"/>
        <v>INSERT INTO divisiones (zona, division) values(226,'OLIVO');</v>
      </c>
    </row>
    <row r="28" spans="1:3" x14ac:dyDescent="0.25">
      <c r="A28">
        <v>227</v>
      </c>
      <c r="B28" t="s">
        <v>5</v>
      </c>
      <c r="C28" t="str">
        <f t="shared" si="0"/>
        <v>INSERT INTO divisiones (zona, division) values(227,'MAQUILISHUAT');</v>
      </c>
    </row>
    <row r="29" spans="1:3" x14ac:dyDescent="0.25">
      <c r="A29">
        <v>228</v>
      </c>
      <c r="B29" t="s">
        <v>5</v>
      </c>
      <c r="C29" t="str">
        <f t="shared" si="0"/>
        <v>INSERT INTO divisiones (zona, division) values(228,'MAQUILISHUAT');</v>
      </c>
    </row>
    <row r="30" spans="1:3" x14ac:dyDescent="0.25">
      <c r="A30">
        <v>229</v>
      </c>
      <c r="B30" t="s">
        <v>5</v>
      </c>
      <c r="C30" t="str">
        <f t="shared" si="0"/>
        <v>INSERT INTO divisiones (zona, division) values(229,'MAQUILISHUAT');</v>
      </c>
    </row>
    <row r="31" spans="1:3" x14ac:dyDescent="0.25">
      <c r="A31">
        <v>230</v>
      </c>
      <c r="B31" t="s">
        <v>5</v>
      </c>
      <c r="C31" t="str">
        <f t="shared" si="0"/>
        <v>INSERT INTO divisiones (zona, division) values(230,'MAQUILISHUAT');</v>
      </c>
    </row>
    <row r="32" spans="1:3" x14ac:dyDescent="0.25">
      <c r="A32">
        <v>231</v>
      </c>
      <c r="B32" t="s">
        <v>6</v>
      </c>
      <c r="C32" t="str">
        <f t="shared" si="0"/>
        <v>INSERT INTO divisiones (zona, division) values(231,'ARAUCARIA');</v>
      </c>
    </row>
    <row r="33" spans="1:3" x14ac:dyDescent="0.25">
      <c r="A33">
        <v>232</v>
      </c>
      <c r="B33" t="s">
        <v>4</v>
      </c>
      <c r="C33" t="str">
        <f t="shared" si="0"/>
        <v>INSERT INTO divisiones (zona, division) values(232,'OLIVO');</v>
      </c>
    </row>
    <row r="34" spans="1:3" x14ac:dyDescent="0.25">
      <c r="A34">
        <v>233</v>
      </c>
      <c r="B34" t="s">
        <v>4</v>
      </c>
      <c r="C34" t="str">
        <f t="shared" si="0"/>
        <v>INSERT INTO divisiones (zona, division) values(233,'OLIVO');</v>
      </c>
    </row>
    <row r="35" spans="1:3" x14ac:dyDescent="0.25">
      <c r="A35">
        <v>234</v>
      </c>
      <c r="B35" t="s">
        <v>5</v>
      </c>
      <c r="C35" t="str">
        <f t="shared" si="0"/>
        <v>INSERT INTO divisiones (zona, division) values(234,'MAQUILISHUAT');</v>
      </c>
    </row>
    <row r="36" spans="1:3" x14ac:dyDescent="0.25">
      <c r="A36">
        <v>235</v>
      </c>
      <c r="B36" t="s">
        <v>6</v>
      </c>
      <c r="C36" t="str">
        <f t="shared" si="0"/>
        <v>INSERT INTO divisiones (zona, division) values(235,'ARAUCARIA');</v>
      </c>
    </row>
    <row r="37" spans="1:3" x14ac:dyDescent="0.25">
      <c r="A37">
        <v>236</v>
      </c>
      <c r="B37" t="s">
        <v>4</v>
      </c>
      <c r="C37" t="str">
        <f t="shared" si="0"/>
        <v>INSERT INTO divisiones (zona, division) values(236,'OLIVO');</v>
      </c>
    </row>
    <row r="38" spans="1:3" x14ac:dyDescent="0.25">
      <c r="A38">
        <v>237</v>
      </c>
      <c r="B38" t="s">
        <v>6</v>
      </c>
      <c r="C38" t="str">
        <f t="shared" si="0"/>
        <v>INSERT INTO divisiones (zona, division) values(237,'ARAUCARIA');</v>
      </c>
    </row>
    <row r="39" spans="1:3" x14ac:dyDescent="0.25">
      <c r="A39">
        <v>238</v>
      </c>
      <c r="B39" t="s">
        <v>4</v>
      </c>
      <c r="C39" t="str">
        <f t="shared" si="0"/>
        <v>INSERT INTO divisiones (zona, division) values(238,'OLIVO');</v>
      </c>
    </row>
    <row r="40" spans="1:3" x14ac:dyDescent="0.25">
      <c r="A40">
        <v>239</v>
      </c>
      <c r="B40" t="s">
        <v>6</v>
      </c>
      <c r="C40" t="str">
        <f t="shared" si="0"/>
        <v>INSERT INTO divisiones (zona, division) values(239,'ARAUCARIA');</v>
      </c>
    </row>
    <row r="41" spans="1:3" x14ac:dyDescent="0.25">
      <c r="A41">
        <v>240</v>
      </c>
      <c r="B41" t="s">
        <v>4</v>
      </c>
      <c r="C41" t="str">
        <f t="shared" si="0"/>
        <v>INSERT INTO divisiones (zona, division) values(240,'OLIVO');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Info</vt:lpstr>
      <vt:lpstr>query</vt:lpstr>
      <vt:lpstr>REPORTE</vt:lpstr>
      <vt:lpstr>DIVISIONES</vt:lpstr>
      <vt:lpstr>Info!ExternalData_5</vt:lpstr>
      <vt:lpstr>REPORTE!Print_Area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Peña</dc:creator>
  <cp:lastModifiedBy>Manuel Peña</cp:lastModifiedBy>
  <dcterms:created xsi:type="dcterms:W3CDTF">2014-07-21T00:15:53Z</dcterms:created>
  <dcterms:modified xsi:type="dcterms:W3CDTF">2015-04-26T22:49:03Z</dcterms:modified>
</cp:coreProperties>
</file>