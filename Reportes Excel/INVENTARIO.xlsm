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pServ\www\CentroServicio\Reportes Excel\"/>
    </mc:Choice>
  </mc:AlternateContent>
  <bookViews>
    <workbookView xWindow="0" yWindow="0" windowWidth="24000" windowHeight="9135" firstSheet="2" activeTab="2"/>
  </bookViews>
  <sheets>
    <sheet name="Info" sheetId="1" state="hidden" r:id="rId1"/>
    <sheet name="query" sheetId="2" state="hidden" r:id="rId2"/>
    <sheet name="REPORTE" sheetId="8" r:id="rId3"/>
  </sheets>
  <definedNames>
    <definedName name="_xlnm._FilterDatabase" localSheetId="2" hidden="1">REPORTE!$A$1:$B$3</definedName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  <definedName name="ExternalData_5" localSheetId="0">Info!$B$1:$N$13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8" l="1"/>
  <c r="J7" i="8" s="1"/>
  <c r="R43" i="8"/>
  <c r="Q43" i="8"/>
  <c r="P43" i="8"/>
  <c r="R42" i="8"/>
  <c r="Q42" i="8"/>
  <c r="P42" i="8"/>
  <c r="R41" i="8"/>
  <c r="Q41" i="8"/>
  <c r="P41" i="8"/>
  <c r="R40" i="8"/>
  <c r="Q40" i="8"/>
  <c r="P40" i="8"/>
  <c r="R39" i="8"/>
  <c r="Q39" i="8"/>
  <c r="P39" i="8"/>
  <c r="R38" i="8"/>
  <c r="Q38" i="8"/>
  <c r="P38" i="8"/>
  <c r="R37" i="8"/>
  <c r="Q37" i="8"/>
  <c r="P37" i="8"/>
  <c r="R36" i="8"/>
  <c r="Q36" i="8"/>
  <c r="P36" i="8"/>
  <c r="R35" i="8"/>
  <c r="Q35" i="8"/>
  <c r="P35" i="8"/>
  <c r="R34" i="8"/>
  <c r="Q34" i="8"/>
  <c r="P34" i="8"/>
  <c r="R33" i="8"/>
  <c r="Q33" i="8"/>
  <c r="P33" i="8"/>
  <c r="R32" i="8"/>
  <c r="Q32" i="8"/>
  <c r="P32" i="8"/>
  <c r="R31" i="8"/>
  <c r="Q31" i="8"/>
  <c r="P31" i="8"/>
  <c r="R30" i="8"/>
  <c r="Q30" i="8"/>
  <c r="P30" i="8"/>
  <c r="R29" i="8"/>
  <c r="Q29" i="8"/>
  <c r="P29" i="8"/>
  <c r="R28" i="8"/>
  <c r="Q28" i="8"/>
  <c r="P28" i="8"/>
  <c r="R27" i="8"/>
  <c r="Q27" i="8"/>
  <c r="P27" i="8"/>
  <c r="R26" i="8"/>
  <c r="Q26" i="8"/>
  <c r="P26" i="8"/>
  <c r="R25" i="8"/>
  <c r="Q25" i="8"/>
  <c r="P25" i="8"/>
  <c r="R24" i="8"/>
  <c r="Q24" i="8"/>
  <c r="P24" i="8"/>
  <c r="R23" i="8"/>
  <c r="Q23" i="8"/>
  <c r="P23" i="8"/>
  <c r="R22" i="8"/>
  <c r="Q22" i="8"/>
  <c r="P22" i="8"/>
  <c r="R21" i="8"/>
  <c r="Q21" i="8"/>
  <c r="P21" i="8"/>
  <c r="R20" i="8"/>
  <c r="Q20" i="8"/>
  <c r="P20" i="8"/>
  <c r="R19" i="8"/>
  <c r="Q19" i="8"/>
  <c r="P19" i="8"/>
  <c r="R18" i="8"/>
  <c r="Q18" i="8"/>
  <c r="P18" i="8"/>
  <c r="R17" i="8"/>
  <c r="Q17" i="8"/>
  <c r="P17" i="8"/>
  <c r="R16" i="8"/>
  <c r="Q16" i="8"/>
  <c r="P16" i="8"/>
  <c r="R15" i="8"/>
  <c r="Q15" i="8"/>
  <c r="P15" i="8"/>
  <c r="R14" i="8"/>
  <c r="Q14" i="8"/>
  <c r="P14" i="8"/>
  <c r="R13" i="8"/>
  <c r="Q13" i="8"/>
  <c r="P13" i="8"/>
  <c r="R12" i="8"/>
  <c r="Q12" i="8"/>
  <c r="P12" i="8"/>
  <c r="R11" i="8"/>
  <c r="Q11" i="8"/>
  <c r="P11" i="8"/>
  <c r="R10" i="8"/>
  <c r="Q10" i="8"/>
  <c r="P10" i="8"/>
  <c r="R9" i="8"/>
  <c r="Q9" i="8"/>
  <c r="P9" i="8"/>
  <c r="R8" i="8"/>
  <c r="Q8" i="8"/>
  <c r="P8" i="8"/>
  <c r="R7" i="8"/>
  <c r="Q7" i="8"/>
  <c r="P7" i="8"/>
  <c r="R6" i="8"/>
  <c r="Q6" i="8"/>
  <c r="P6" i="8"/>
  <c r="R5" i="8"/>
  <c r="Q5" i="8"/>
  <c r="P5" i="8"/>
  <c r="R4" i="8"/>
  <c r="Q4" i="8"/>
  <c r="P4" i="8"/>
  <c r="E43" i="8"/>
  <c r="D43" i="8"/>
  <c r="C43" i="8"/>
  <c r="E42" i="8"/>
  <c r="D42" i="8"/>
  <c r="C42" i="8"/>
  <c r="E41" i="8"/>
  <c r="D41" i="8"/>
  <c r="C41" i="8"/>
  <c r="E40" i="8"/>
  <c r="D40" i="8"/>
  <c r="C40" i="8"/>
  <c r="E39" i="8"/>
  <c r="D39" i="8"/>
  <c r="C39" i="8"/>
  <c r="E38" i="8"/>
  <c r="D38" i="8"/>
  <c r="C38" i="8"/>
  <c r="E37" i="8"/>
  <c r="D37" i="8"/>
  <c r="C37" i="8"/>
  <c r="E36" i="8"/>
  <c r="D36" i="8"/>
  <c r="C36" i="8"/>
  <c r="E35" i="8"/>
  <c r="D35" i="8"/>
  <c r="C35" i="8"/>
  <c r="E34" i="8"/>
  <c r="D34" i="8"/>
  <c r="C34" i="8"/>
  <c r="E33" i="8"/>
  <c r="D33" i="8"/>
  <c r="C33" i="8"/>
  <c r="E32" i="8"/>
  <c r="D32" i="8"/>
  <c r="C32" i="8"/>
  <c r="E31" i="8"/>
  <c r="D31" i="8"/>
  <c r="C31" i="8"/>
  <c r="E30" i="8"/>
  <c r="D30" i="8"/>
  <c r="C30" i="8"/>
  <c r="E29" i="8"/>
  <c r="D29" i="8"/>
  <c r="C29" i="8"/>
  <c r="E28" i="8"/>
  <c r="D28" i="8"/>
  <c r="C28" i="8"/>
  <c r="E27" i="8"/>
  <c r="D27" i="8"/>
  <c r="C27" i="8"/>
  <c r="E26" i="8"/>
  <c r="D26" i="8"/>
  <c r="C26" i="8"/>
  <c r="E25" i="8"/>
  <c r="D25" i="8"/>
  <c r="C25" i="8"/>
  <c r="E24" i="8"/>
  <c r="D24" i="8"/>
  <c r="C24" i="8"/>
  <c r="E23" i="8"/>
  <c r="D23" i="8"/>
  <c r="C23" i="8"/>
  <c r="E22" i="8"/>
  <c r="D22" i="8"/>
  <c r="C22" i="8"/>
  <c r="E21" i="8"/>
  <c r="D21" i="8"/>
  <c r="C21" i="8"/>
  <c r="E20" i="8"/>
  <c r="D20" i="8"/>
  <c r="C20" i="8"/>
  <c r="E19" i="8"/>
  <c r="D19" i="8"/>
  <c r="C19" i="8"/>
  <c r="E18" i="8"/>
  <c r="D18" i="8"/>
  <c r="C18" i="8"/>
  <c r="E17" i="8"/>
  <c r="D17" i="8"/>
  <c r="C17" i="8"/>
  <c r="E16" i="8"/>
  <c r="D16" i="8"/>
  <c r="C16" i="8"/>
  <c r="E15" i="8"/>
  <c r="D15" i="8"/>
  <c r="C15" i="8"/>
  <c r="E14" i="8"/>
  <c r="D14" i="8"/>
  <c r="C14" i="8"/>
  <c r="E13" i="8"/>
  <c r="D13" i="8"/>
  <c r="C13" i="8"/>
  <c r="E12" i="8"/>
  <c r="D12" i="8"/>
  <c r="C12" i="8"/>
  <c r="E11" i="8"/>
  <c r="D11" i="8"/>
  <c r="C11" i="8"/>
  <c r="E10" i="8"/>
  <c r="D10" i="8"/>
  <c r="C10" i="8"/>
  <c r="E9" i="8"/>
  <c r="D9" i="8"/>
  <c r="C9" i="8"/>
  <c r="E8" i="8"/>
  <c r="D8" i="8"/>
  <c r="C8" i="8"/>
  <c r="E7" i="8"/>
  <c r="D7" i="8"/>
  <c r="C7" i="8"/>
  <c r="E6" i="8"/>
  <c r="D6" i="8"/>
  <c r="C6" i="8"/>
  <c r="E5" i="8"/>
  <c r="D5" i="8"/>
  <c r="C5" i="8"/>
  <c r="I43" i="8"/>
  <c r="H43" i="8"/>
  <c r="G43" i="8"/>
  <c r="J43" i="8" s="1"/>
  <c r="I42" i="8"/>
  <c r="H42" i="8"/>
  <c r="G42" i="8"/>
  <c r="I41" i="8"/>
  <c r="H41" i="8"/>
  <c r="G41" i="8"/>
  <c r="I40" i="8"/>
  <c r="H40" i="8"/>
  <c r="G40" i="8"/>
  <c r="I39" i="8"/>
  <c r="H39" i="8"/>
  <c r="G39" i="8"/>
  <c r="J39" i="8" s="1"/>
  <c r="I38" i="8"/>
  <c r="H38" i="8"/>
  <c r="G38" i="8"/>
  <c r="I37" i="8"/>
  <c r="H37" i="8"/>
  <c r="G37" i="8"/>
  <c r="I36" i="8"/>
  <c r="H36" i="8"/>
  <c r="G36" i="8"/>
  <c r="I35" i="8"/>
  <c r="H35" i="8"/>
  <c r="G35" i="8"/>
  <c r="J35" i="8" s="1"/>
  <c r="I34" i="8"/>
  <c r="H34" i="8"/>
  <c r="G34" i="8"/>
  <c r="I33" i="8"/>
  <c r="H33" i="8"/>
  <c r="G33" i="8"/>
  <c r="I32" i="8"/>
  <c r="H32" i="8"/>
  <c r="G32" i="8"/>
  <c r="I31" i="8"/>
  <c r="H31" i="8"/>
  <c r="G31" i="8"/>
  <c r="J31" i="8" s="1"/>
  <c r="I30" i="8"/>
  <c r="H30" i="8"/>
  <c r="G30" i="8"/>
  <c r="I29" i="8"/>
  <c r="H29" i="8"/>
  <c r="G29" i="8"/>
  <c r="I28" i="8"/>
  <c r="H28" i="8"/>
  <c r="G28" i="8"/>
  <c r="I27" i="8"/>
  <c r="H27" i="8"/>
  <c r="G27" i="8"/>
  <c r="J27" i="8" s="1"/>
  <c r="I26" i="8"/>
  <c r="H26" i="8"/>
  <c r="G26" i="8"/>
  <c r="I25" i="8"/>
  <c r="H25" i="8"/>
  <c r="G25" i="8"/>
  <c r="I24" i="8"/>
  <c r="H24" i="8"/>
  <c r="G24" i="8"/>
  <c r="I23" i="8"/>
  <c r="H23" i="8"/>
  <c r="G23" i="8"/>
  <c r="J23" i="8" s="1"/>
  <c r="I22" i="8"/>
  <c r="H22" i="8"/>
  <c r="G22" i="8"/>
  <c r="I21" i="8"/>
  <c r="H21" i="8"/>
  <c r="G21" i="8"/>
  <c r="I20" i="8"/>
  <c r="H20" i="8"/>
  <c r="G20" i="8"/>
  <c r="I19" i="8"/>
  <c r="H19" i="8"/>
  <c r="G19" i="8"/>
  <c r="J19" i="8" s="1"/>
  <c r="I18" i="8"/>
  <c r="H18" i="8"/>
  <c r="G18" i="8"/>
  <c r="I17" i="8"/>
  <c r="H17" i="8"/>
  <c r="G17" i="8"/>
  <c r="I16" i="8"/>
  <c r="H16" i="8"/>
  <c r="G16" i="8"/>
  <c r="I15" i="8"/>
  <c r="H15" i="8"/>
  <c r="G15" i="8"/>
  <c r="J15" i="8" s="1"/>
  <c r="I14" i="8"/>
  <c r="H14" i="8"/>
  <c r="G14" i="8"/>
  <c r="I13" i="8"/>
  <c r="H13" i="8"/>
  <c r="G13" i="8"/>
  <c r="I12" i="8"/>
  <c r="H12" i="8"/>
  <c r="G12" i="8"/>
  <c r="I11" i="8"/>
  <c r="H11" i="8"/>
  <c r="G11" i="8"/>
  <c r="J11" i="8" s="1"/>
  <c r="I10" i="8"/>
  <c r="H10" i="8"/>
  <c r="G10" i="8"/>
  <c r="I9" i="8"/>
  <c r="H9" i="8"/>
  <c r="G9" i="8"/>
  <c r="I8" i="8"/>
  <c r="H8" i="8"/>
  <c r="G8" i="8"/>
  <c r="I7" i="8"/>
  <c r="H7" i="8"/>
  <c r="I6" i="8"/>
  <c r="H6" i="8"/>
  <c r="G6" i="8"/>
  <c r="I5" i="8"/>
  <c r="H5" i="8"/>
  <c r="G5" i="8"/>
  <c r="M4" i="8"/>
  <c r="L4" i="8"/>
  <c r="N4" i="8"/>
  <c r="J4" i="8"/>
  <c r="I4" i="8"/>
  <c r="H4" i="8"/>
  <c r="G4" i="8"/>
  <c r="E4" i="8"/>
  <c r="D4" i="8"/>
  <c r="C4" i="8"/>
  <c r="C44" i="8" s="1"/>
  <c r="N43" i="8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N5" i="8"/>
  <c r="J6" i="8" l="1"/>
  <c r="J10" i="8"/>
  <c r="J14" i="8"/>
  <c r="J18" i="8"/>
  <c r="J22" i="8"/>
  <c r="J26" i="8"/>
  <c r="J30" i="8"/>
  <c r="J34" i="8"/>
  <c r="J38" i="8"/>
  <c r="J42" i="8"/>
  <c r="J5" i="8"/>
  <c r="J9" i="8"/>
  <c r="J13" i="8"/>
  <c r="J17" i="8"/>
  <c r="J21" i="8"/>
  <c r="J25" i="8"/>
  <c r="J29" i="8"/>
  <c r="J33" i="8"/>
  <c r="J37" i="8"/>
  <c r="J41" i="8"/>
  <c r="J8" i="8"/>
  <c r="J12" i="8"/>
  <c r="J16" i="8"/>
  <c r="J20" i="8"/>
  <c r="J24" i="8"/>
  <c r="J28" i="8"/>
  <c r="J32" i="8"/>
  <c r="J36" i="8"/>
  <c r="J40" i="8"/>
  <c r="D44" i="8"/>
  <c r="E44" i="8"/>
  <c r="N44" i="8"/>
  <c r="L42" i="8"/>
  <c r="M42" i="8"/>
  <c r="L43" i="8"/>
  <c r="M43" i="8"/>
  <c r="L33" i="8"/>
  <c r="M33" i="8"/>
  <c r="L34" i="8"/>
  <c r="M34" i="8"/>
  <c r="L35" i="8"/>
  <c r="M35" i="8"/>
  <c r="L36" i="8"/>
  <c r="M36" i="8"/>
  <c r="L37" i="8"/>
  <c r="M37" i="8"/>
  <c r="L38" i="8"/>
  <c r="M38" i="8"/>
  <c r="L39" i="8"/>
  <c r="M39" i="8"/>
  <c r="L40" i="8"/>
  <c r="M40" i="8"/>
  <c r="L41" i="8"/>
  <c r="M41" i="8"/>
  <c r="M32" i="8"/>
  <c r="L32" i="8"/>
  <c r="M31" i="8"/>
  <c r="L31" i="8"/>
  <c r="M30" i="8"/>
  <c r="L30" i="8"/>
  <c r="M29" i="8"/>
  <c r="L29" i="8"/>
  <c r="M28" i="8"/>
  <c r="L28" i="8"/>
  <c r="M27" i="8"/>
  <c r="L27" i="8"/>
  <c r="M26" i="8"/>
  <c r="L26" i="8"/>
  <c r="M25" i="8"/>
  <c r="L25" i="8"/>
  <c r="M24" i="8"/>
  <c r="L24" i="8"/>
  <c r="M23" i="8"/>
  <c r="L23" i="8"/>
  <c r="M22" i="8"/>
  <c r="L22" i="8"/>
  <c r="M21" i="8"/>
  <c r="L21" i="8"/>
  <c r="M20" i="8"/>
  <c r="L20" i="8"/>
  <c r="M19" i="8"/>
  <c r="L19" i="8"/>
  <c r="M18" i="8"/>
  <c r="L18" i="8"/>
  <c r="M17" i="8"/>
  <c r="L17" i="8"/>
  <c r="M16" i="8"/>
  <c r="L16" i="8"/>
  <c r="M15" i="8"/>
  <c r="L15" i="8"/>
  <c r="M14" i="8"/>
  <c r="L14" i="8"/>
  <c r="M13" i="8"/>
  <c r="L13" i="8"/>
  <c r="M12" i="8"/>
  <c r="L12" i="8"/>
  <c r="M11" i="8"/>
  <c r="L11" i="8"/>
  <c r="M10" i="8"/>
  <c r="L10" i="8"/>
  <c r="M9" i="8"/>
  <c r="L9" i="8"/>
  <c r="M8" i="8"/>
  <c r="L8" i="8"/>
  <c r="M7" i="8"/>
  <c r="L7" i="8"/>
  <c r="M6" i="8"/>
  <c r="L6" i="8"/>
  <c r="M5" i="8"/>
  <c r="L5" i="8"/>
  <c r="H44" i="8" l="1"/>
  <c r="G44" i="8"/>
  <c r="P44" i="8"/>
  <c r="M44" i="8"/>
  <c r="Q44" i="8"/>
  <c r="I44" i="8"/>
  <c r="L44" i="8"/>
  <c r="S13" i="8"/>
  <c r="S17" i="8"/>
  <c r="S19" i="8"/>
  <c r="S21" i="8"/>
  <c r="S23" i="8"/>
  <c r="S25" i="8"/>
  <c r="S27" i="8"/>
  <c r="S29" i="8"/>
  <c r="R44" i="8"/>
  <c r="S31" i="8"/>
  <c r="S7" i="8"/>
  <c r="S9" i="8"/>
  <c r="S5" i="8"/>
  <c r="S11" i="8"/>
  <c r="S15" i="8"/>
  <c r="S40" i="8"/>
  <c r="S38" i="8"/>
  <c r="S36" i="8"/>
  <c r="S34" i="8"/>
  <c r="S43" i="8"/>
  <c r="S4" i="8"/>
  <c r="S6" i="8"/>
  <c r="S8" i="8"/>
  <c r="S10" i="8"/>
  <c r="S12" i="8"/>
  <c r="S14" i="8"/>
  <c r="S16" i="8"/>
  <c r="S18" i="8"/>
  <c r="S20" i="8"/>
  <c r="S22" i="8"/>
  <c r="S24" i="8"/>
  <c r="S26" i="8"/>
  <c r="S28" i="8"/>
  <c r="S30" i="8"/>
  <c r="S32" i="8"/>
  <c r="S41" i="8"/>
  <c r="S39" i="8"/>
  <c r="S37" i="8"/>
  <c r="S35" i="8"/>
  <c r="S33" i="8"/>
  <c r="S42" i="8"/>
  <c r="B1" i="2"/>
  <c r="B2" i="2" s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S44" i="8" l="1"/>
  <c r="J44" i="8"/>
</calcChain>
</file>

<file path=xl/connections.xml><?xml version="1.0" encoding="utf-8"?>
<connections xmlns="http://schemas.openxmlformats.org/spreadsheetml/2006/main">
  <connection id="1" name="Connection" type="1" refreshedVersion="5" background="1" saveData="1">
    <dbPr connection="DSN=EXCELMYSQL;UID=root;PORT=3306;PASSWORD=root;" command="SELECT _x000a_  a.`zona`,_x000a_  SUM(IF(b.tipo_pedido = 1, 1, 0)) AS p_normal,_x000a_  SUM(IF(b.tipo_pedido = 2, 1, 0)) AS p_tardio,_x000a_  SUM(b.devolucion_buzon) AS devolucion_buzon,_x000a_  SUM(IF(b.devolucion_buzon =1, b.`cajas`, 0)) AS c_devolucion_buzon,_x000a_  SUM(IF(b.tipo_pedido = 1, b.`cajas`, 0)) AS c_normal,_x000a_  SUM(IF(b.tipo_pedido = 2, b.`cajas`, 0)) AS c_tardio,_x000a_  SUM(IF(d.`tipo_solicitud` = 1, b.`cajas`, 0)) s_c_consejera,_x000a_  SUM(IF(d.`tipo_solicitud` = 2, b.`cajas`, 0)) s_c_gerentes,_x000a_  SUM(IF(d.`tipo_solicitud` = 3, b.`cajas`, 0)) s_c_buzones,_x000a_  SUM(IF(d.`tipo_solicitud` = 1, 1, 0)) s_p_consejera,_x000a_  SUM(IF(d.`tipo_solicitud` = 2, 1, 0)) s_p_gerentes,_x000a_  SUM(IF(d.`tipo_solicitud` = 3, 1, 0)) s_p_buzones_x000a_FROM_x000a_  consejeras a _x000a_  INNER JOIN pedidos b _x000a_    ON a.`codigo` = b.`codigo` _x000a_    LEFT JOIN solicitudes d ON d.`pedido_id` = b.`id`_x000a_    _x000a_WHERE b.`campania` = 1  AND b.`anio` =2015 GROUP BY a.`zona` "/>
  </connection>
</connections>
</file>

<file path=xl/sharedStrings.xml><?xml version="1.0" encoding="utf-8"?>
<sst xmlns="http://schemas.openxmlformats.org/spreadsheetml/2006/main" count="38" uniqueCount="31">
  <si>
    <t>query</t>
  </si>
  <si>
    <t>ZONA</t>
  </si>
  <si>
    <t>CAMPAÑA</t>
  </si>
  <si>
    <t>FECHA</t>
  </si>
  <si>
    <t>CORRELATIVO</t>
  </si>
  <si>
    <t>AÑO</t>
  </si>
  <si>
    <t>INGRESOS EN CAJAS</t>
  </si>
  <si>
    <t>SALIDA EN CAJAS</t>
  </si>
  <si>
    <t>INGRESO PEDIDOS</t>
  </si>
  <si>
    <t>SALIDA PEDIDOS</t>
  </si>
  <si>
    <t>INICIO</t>
  </si>
  <si>
    <t>TARDIO</t>
  </si>
  <si>
    <t>DEVOLU</t>
  </si>
  <si>
    <t>CONSEJ</t>
  </si>
  <si>
    <t>GTE</t>
  </si>
  <si>
    <t>BUZON</t>
  </si>
  <si>
    <t>FIN</t>
  </si>
  <si>
    <t>zona</t>
  </si>
  <si>
    <t>p_normal</t>
  </si>
  <si>
    <t>p_tardio</t>
  </si>
  <si>
    <t>c_normal</t>
  </si>
  <si>
    <t>c_tardio</t>
  </si>
  <si>
    <t>s_c_consejera</t>
  </si>
  <si>
    <t>s_c_gerentes</t>
  </si>
  <si>
    <t>s_c_buzones</t>
  </si>
  <si>
    <t>s_p_consejera</t>
  </si>
  <si>
    <t>s_p_gerentes</t>
  </si>
  <si>
    <t>s_p_buzones</t>
  </si>
  <si>
    <t>devolucion_buzon</t>
  </si>
  <si>
    <t>c_devolucion_buzon</t>
  </si>
  <si>
    <t xml:space="preserve">SELECT 
  a.`zona`,
  SUM(IF(b.tipo_pedido = 1, 1, 0)) AS p_normal,
  SUM(IF(b.tipo_pedido = 2, 1, 0)) AS p_tardio,
  SUM(b.devolucion_buzon) AS devolucion_buzon,
  SUM(IF(b.devolucion_buzon =1, b.`cajas`, 0)) AS c_devolucion_buzon,
  SUM(IF(b.tipo_pedido = 1, b.`cajas`, 0)) AS c_normal,
  SUM(IF(b.tipo_pedido = 2, b.`cajas`, 0)) AS c_tardio,
  SUM(IF(d.`tipo_solicitud` = 1, b.`cajas`, 0)) s_c_consejera,
  SUM(IF(d.`tipo_solicitud` = 2, b.`cajas`, 0)) s_c_gerentes,
  SUM(IF(d.`tipo_solicitud` = 3, b.`cajas`, 0)) s_c_buzones,
  SUM(IF(d.`tipo_solicitud` = 1, 1, 0)) s_p_consejera,
  SUM(IF(d.`tipo_solicitud` = 2, 1, 0)) s_p_gerentes,
  SUM(IF(d.`tipo_solicitud` = 3, 1, 0)) s_p_buzones
FROM
  consejeras a 
  INNER JOIN pedidos b 
    ON a.`codigo` = b.`codigo` 
    LEFT JOIN solicitudes d ON d.`pedido_id` = b.`id`
WHERE b.`campania`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</si>
</sst>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sz val="10"/>
      <name val="Arial"/>
      <family val="2"/>
    </font>
    <font>
      <b/>
      <sz val="10"/>
      <color theme="1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35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Fill="1" applyBorder="1" applyAlignment="1" applyProtection="1">
      <alignment horizontal="center" vertical="center"/>
      <protection locked="0"/>
    </xf>
    <xf numFmtId="0" fontId="6" fillId="0" borderId="0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2" fillId="0" borderId="0" xfId="0" applyFont="1" applyFill="1" applyBorder="1" applyAlignment="1">
      <alignment horizontal="center"/>
    </xf>
    <xf numFmtId="0" fontId="3" fillId="0" borderId="2" xfId="0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Fill="1" applyBorder="1" applyAlignment="1" applyProtection="1">
      <alignment horizontal="center" vertical="center" wrapText="1"/>
      <protection locked="0"/>
    </xf>
    <xf numFmtId="0" fontId="3" fillId="0" borderId="4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0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Border="1" applyAlignment="1" applyProtection="1">
      <alignment horizontal="center" vertical="center" wrapText="1"/>
      <protection locked="0"/>
    </xf>
    <xf numFmtId="0" fontId="3" fillId="2" borderId="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 wrapText="1"/>
      <protection locked="0"/>
    </xf>
    <xf numFmtId="0" fontId="6" fillId="2" borderId="0" xfId="0" applyNumberFormat="1" applyFont="1" applyFill="1" applyBorder="1" applyAlignment="1" applyProtection="1">
      <alignment horizontal="center" vertical="center" wrapText="1"/>
      <protection locked="0"/>
    </xf>
    <xf numFmtId="14" fontId="3" fillId="0" borderId="0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  <protection locked="0"/>
    </xf>
    <xf numFmtId="0" fontId="3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64" fontId="3" fillId="3" borderId="0" xfId="0" applyNumberFormat="1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Border="1" applyAlignment="1" applyProtection="1">
      <alignment horizontal="center"/>
      <protection locked="0"/>
    </xf>
    <xf numFmtId="0" fontId="6" fillId="3" borderId="0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Border="1" applyAlignment="1" applyProtection="1">
      <alignment horizontal="center"/>
      <protection locked="0"/>
    </xf>
    <xf numFmtId="0" fontId="1" fillId="0" borderId="0" xfId="0" applyNumberFormat="1" applyFont="1"/>
    <xf numFmtId="0" fontId="0" fillId="0" borderId="0" xfId="0" applyNumberFormat="1"/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66675</xdr:colOff>
      <xdr:row>0</xdr:row>
      <xdr:rowOff>0</xdr:rowOff>
    </xdr:from>
    <xdr:to>
      <xdr:col>20</xdr:col>
      <xdr:colOff>18989</xdr:colOff>
      <xdr:row>2</xdr:row>
      <xdr:rowOff>142826</xdr:rowOff>
    </xdr:to>
    <xdr:pic macro="[0]!Sheet1.SQLQuery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2496800" y="0"/>
          <a:ext cx="485714" cy="390476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zona"/>
      <queryTableField id="2" name="p_normal"/>
      <queryTableField id="3" name="p_tardio"/>
      <queryTableField id="4" name="devolucion_buzon"/>
      <queryTableField id="5" name="c_devolucion_buzon"/>
      <queryTableField id="6" name="c_normal"/>
      <queryTableField id="7" name="c_tardio"/>
      <queryTableField id="8" name="s_c_consejera"/>
      <queryTableField id="9" name="s_c_gerentes"/>
      <queryTableField id="10" name="s_c_buzones"/>
      <queryTableField id="11" name="s_p_consejera"/>
      <queryTableField id="12" name="s_p_gerentes"/>
      <queryTableField id="13" name="s_p_buzones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400"/>
  <sheetViews>
    <sheetView workbookViewId="0">
      <selection activeCell="N1" sqref="N1"/>
    </sheetView>
  </sheetViews>
  <sheetFormatPr defaultColWidth="9.140625" defaultRowHeight="15" x14ac:dyDescent="0.25"/>
  <cols>
    <col min="2" max="2" width="5.140625" customWidth="1"/>
    <col min="3" max="3" width="9.42578125" customWidth="1"/>
    <col min="4" max="4" width="8.42578125" customWidth="1"/>
    <col min="5" max="5" width="17.5703125" customWidth="1"/>
    <col min="6" max="6" width="19.42578125" customWidth="1"/>
    <col min="7" max="7" width="9.140625" customWidth="1"/>
    <col min="8" max="8" width="8.140625" customWidth="1"/>
    <col min="9" max="9" width="13.42578125" bestFit="1" customWidth="1"/>
    <col min="10" max="10" width="12.5703125" customWidth="1"/>
    <col min="11" max="11" width="12.140625" style="32" customWidth="1"/>
    <col min="12" max="12" width="13.7109375" style="32" customWidth="1"/>
    <col min="13" max="13" width="12.85546875" customWidth="1"/>
    <col min="14" max="14" width="12.42578125" customWidth="1"/>
    <col min="15" max="15" width="9.28515625" bestFit="1" customWidth="1"/>
  </cols>
  <sheetData>
    <row r="1" spans="1:15" x14ac:dyDescent="0.25">
      <c r="A1" t="s">
        <v>4</v>
      </c>
      <c r="B1" s="1" t="s">
        <v>17</v>
      </c>
      <c r="C1" s="1" t="s">
        <v>18</v>
      </c>
      <c r="D1" s="1" t="s">
        <v>19</v>
      </c>
      <c r="E1" s="1" t="s">
        <v>28</v>
      </c>
      <c r="F1" s="1" t="s">
        <v>29</v>
      </c>
      <c r="G1" s="1" t="s">
        <v>20</v>
      </c>
      <c r="H1" s="1" t="s">
        <v>21</v>
      </c>
      <c r="I1" s="1" t="s">
        <v>22</v>
      </c>
      <c r="J1" s="1" t="s">
        <v>23</v>
      </c>
      <c r="K1" s="31" t="s">
        <v>24</v>
      </c>
      <c r="L1" s="31" t="s">
        <v>25</v>
      </c>
      <c r="M1" s="1" t="s">
        <v>26</v>
      </c>
      <c r="N1" s="1" t="s">
        <v>27</v>
      </c>
      <c r="O1" s="1"/>
    </row>
    <row r="2" spans="1:15" x14ac:dyDescent="0.25">
      <c r="A2">
        <v>1</v>
      </c>
      <c r="B2">
        <v>201</v>
      </c>
      <c r="C2">
        <v>0</v>
      </c>
      <c r="D2">
        <v>10</v>
      </c>
      <c r="E2">
        <v>2</v>
      </c>
      <c r="F2">
        <v>110</v>
      </c>
      <c r="G2">
        <v>0</v>
      </c>
      <c r="H2">
        <v>496</v>
      </c>
      <c r="I2">
        <v>25</v>
      </c>
      <c r="J2">
        <v>44</v>
      </c>
      <c r="K2" s="32">
        <v>0</v>
      </c>
      <c r="L2" s="32">
        <v>1</v>
      </c>
      <c r="M2">
        <v>1</v>
      </c>
      <c r="N2">
        <v>0</v>
      </c>
    </row>
    <row r="3" spans="1:15" x14ac:dyDescent="0.25">
      <c r="A3">
        <f>IF(B3&gt;0,A2+1,"")</f>
        <v>2</v>
      </c>
      <c r="B3">
        <v>202</v>
      </c>
      <c r="C3">
        <v>0</v>
      </c>
      <c r="D3">
        <v>6</v>
      </c>
      <c r="E3">
        <v>0</v>
      </c>
      <c r="F3">
        <v>0</v>
      </c>
      <c r="G3">
        <v>0</v>
      </c>
      <c r="H3">
        <v>264</v>
      </c>
      <c r="I3">
        <v>69</v>
      </c>
      <c r="J3">
        <v>97</v>
      </c>
      <c r="K3" s="32">
        <v>0</v>
      </c>
      <c r="L3" s="32">
        <v>1</v>
      </c>
      <c r="M3">
        <v>2</v>
      </c>
      <c r="N3">
        <v>0</v>
      </c>
    </row>
    <row r="4" spans="1:15" x14ac:dyDescent="0.25">
      <c r="A4">
        <f t="shared" ref="A4:A67" si="0">IF(B4&gt;0,A3+1,"")</f>
        <v>3</v>
      </c>
      <c r="B4">
        <v>203</v>
      </c>
      <c r="C4">
        <v>0</v>
      </c>
      <c r="D4">
        <v>8</v>
      </c>
      <c r="E4">
        <v>0</v>
      </c>
      <c r="F4">
        <v>0</v>
      </c>
      <c r="G4">
        <v>0</v>
      </c>
      <c r="H4">
        <v>523</v>
      </c>
      <c r="I4">
        <v>0</v>
      </c>
      <c r="J4">
        <v>0</v>
      </c>
      <c r="K4" s="32">
        <v>0</v>
      </c>
      <c r="L4" s="32">
        <v>0</v>
      </c>
      <c r="M4">
        <v>0</v>
      </c>
      <c r="N4">
        <v>0</v>
      </c>
    </row>
    <row r="5" spans="1:15" x14ac:dyDescent="0.25">
      <c r="A5">
        <f t="shared" si="0"/>
        <v>4</v>
      </c>
      <c r="B5">
        <v>204</v>
      </c>
      <c r="C5">
        <v>0</v>
      </c>
      <c r="D5">
        <v>12</v>
      </c>
      <c r="E5">
        <v>0</v>
      </c>
      <c r="F5">
        <v>0</v>
      </c>
      <c r="G5">
        <v>0</v>
      </c>
      <c r="H5">
        <v>528</v>
      </c>
      <c r="I5">
        <v>55</v>
      </c>
      <c r="J5">
        <v>59</v>
      </c>
      <c r="K5" s="32">
        <v>88</v>
      </c>
      <c r="L5" s="32">
        <v>1</v>
      </c>
      <c r="M5">
        <v>2</v>
      </c>
      <c r="N5">
        <v>1</v>
      </c>
    </row>
    <row r="6" spans="1:15" x14ac:dyDescent="0.25">
      <c r="A6">
        <f t="shared" si="0"/>
        <v>5</v>
      </c>
      <c r="B6">
        <v>205</v>
      </c>
      <c r="C6">
        <v>0</v>
      </c>
      <c r="D6">
        <v>10</v>
      </c>
      <c r="F6">
        <v>0</v>
      </c>
      <c r="G6">
        <v>0</v>
      </c>
      <c r="H6">
        <v>556</v>
      </c>
      <c r="I6">
        <v>95</v>
      </c>
      <c r="J6">
        <v>0</v>
      </c>
      <c r="K6" s="32">
        <v>51</v>
      </c>
      <c r="L6" s="32">
        <v>1</v>
      </c>
      <c r="M6">
        <v>0</v>
      </c>
      <c r="N6">
        <v>1</v>
      </c>
    </row>
    <row r="7" spans="1:15" x14ac:dyDescent="0.25">
      <c r="A7">
        <f t="shared" si="0"/>
        <v>6</v>
      </c>
      <c r="B7">
        <v>206</v>
      </c>
      <c r="C7">
        <v>33</v>
      </c>
      <c r="D7">
        <v>12</v>
      </c>
      <c r="E7">
        <v>1</v>
      </c>
      <c r="F7">
        <v>20</v>
      </c>
      <c r="G7">
        <v>1526</v>
      </c>
      <c r="H7">
        <v>848</v>
      </c>
      <c r="I7">
        <v>0</v>
      </c>
      <c r="J7">
        <v>339</v>
      </c>
      <c r="K7" s="32">
        <v>0</v>
      </c>
      <c r="L7" s="32">
        <v>0</v>
      </c>
      <c r="M7">
        <v>6</v>
      </c>
      <c r="N7">
        <v>0</v>
      </c>
    </row>
    <row r="8" spans="1:15" x14ac:dyDescent="0.25">
      <c r="A8">
        <f t="shared" si="0"/>
        <v>7</v>
      </c>
      <c r="B8">
        <v>207</v>
      </c>
      <c r="C8">
        <v>0</v>
      </c>
      <c r="D8">
        <v>8</v>
      </c>
      <c r="F8">
        <v>0</v>
      </c>
      <c r="G8">
        <v>0</v>
      </c>
      <c r="H8">
        <v>353</v>
      </c>
      <c r="I8">
        <v>63</v>
      </c>
      <c r="J8">
        <v>33</v>
      </c>
      <c r="K8" s="32">
        <v>0</v>
      </c>
      <c r="L8" s="32">
        <v>1</v>
      </c>
      <c r="M8">
        <v>1</v>
      </c>
      <c r="N8">
        <v>0</v>
      </c>
    </row>
    <row r="9" spans="1:15" x14ac:dyDescent="0.25">
      <c r="A9">
        <f t="shared" si="0"/>
        <v>8</v>
      </c>
      <c r="B9">
        <v>208</v>
      </c>
      <c r="C9">
        <v>0</v>
      </c>
      <c r="D9">
        <v>6</v>
      </c>
      <c r="E9">
        <v>0</v>
      </c>
      <c r="F9">
        <v>0</v>
      </c>
      <c r="G9">
        <v>0</v>
      </c>
      <c r="H9">
        <v>317</v>
      </c>
      <c r="I9">
        <v>68</v>
      </c>
      <c r="J9">
        <v>0</v>
      </c>
      <c r="K9" s="32">
        <v>0</v>
      </c>
      <c r="L9" s="32">
        <v>1</v>
      </c>
      <c r="M9">
        <v>0</v>
      </c>
      <c r="N9">
        <v>0</v>
      </c>
    </row>
    <row r="10" spans="1:15" x14ac:dyDescent="0.25">
      <c r="A10">
        <f t="shared" si="0"/>
        <v>9</v>
      </c>
      <c r="B10">
        <v>209</v>
      </c>
      <c r="C10">
        <v>0</v>
      </c>
      <c r="D10">
        <v>9</v>
      </c>
      <c r="E10">
        <v>0</v>
      </c>
      <c r="F10">
        <v>0</v>
      </c>
      <c r="G10">
        <v>0</v>
      </c>
      <c r="H10">
        <v>386</v>
      </c>
      <c r="I10">
        <v>100</v>
      </c>
      <c r="J10">
        <v>21</v>
      </c>
      <c r="K10" s="32">
        <v>0</v>
      </c>
      <c r="L10" s="32">
        <v>2</v>
      </c>
      <c r="M10">
        <v>1</v>
      </c>
      <c r="N10">
        <v>0</v>
      </c>
    </row>
    <row r="11" spans="1:15" x14ac:dyDescent="0.25">
      <c r="A11">
        <f t="shared" si="0"/>
        <v>10</v>
      </c>
      <c r="B11">
        <v>210</v>
      </c>
      <c r="C11">
        <v>0</v>
      </c>
      <c r="D11">
        <v>11</v>
      </c>
      <c r="E11">
        <v>2</v>
      </c>
      <c r="F11">
        <v>36</v>
      </c>
      <c r="G11">
        <v>0</v>
      </c>
      <c r="H11">
        <v>544</v>
      </c>
      <c r="I11">
        <v>28</v>
      </c>
      <c r="J11">
        <v>36</v>
      </c>
      <c r="K11" s="32">
        <v>0</v>
      </c>
      <c r="L11" s="32">
        <v>1</v>
      </c>
      <c r="M11">
        <v>2</v>
      </c>
      <c r="N11">
        <v>0</v>
      </c>
    </row>
    <row r="12" spans="1:15" x14ac:dyDescent="0.25">
      <c r="A12">
        <f t="shared" si="0"/>
        <v>11</v>
      </c>
      <c r="B12">
        <v>211</v>
      </c>
      <c r="C12">
        <v>0</v>
      </c>
      <c r="D12">
        <v>8</v>
      </c>
      <c r="F12">
        <v>0</v>
      </c>
      <c r="G12">
        <v>0</v>
      </c>
      <c r="H12">
        <v>324</v>
      </c>
      <c r="I12">
        <v>75</v>
      </c>
      <c r="J12">
        <v>39</v>
      </c>
      <c r="K12" s="32">
        <v>0</v>
      </c>
      <c r="L12" s="32">
        <v>1</v>
      </c>
      <c r="M12">
        <v>1</v>
      </c>
      <c r="N12">
        <v>0</v>
      </c>
    </row>
    <row r="13" spans="1:15" x14ac:dyDescent="0.25">
      <c r="A13">
        <f t="shared" si="0"/>
        <v>12</v>
      </c>
      <c r="B13">
        <v>212</v>
      </c>
      <c r="C13">
        <v>0</v>
      </c>
      <c r="D13">
        <v>10</v>
      </c>
      <c r="E13">
        <v>1</v>
      </c>
      <c r="F13">
        <v>61</v>
      </c>
      <c r="G13">
        <v>0</v>
      </c>
      <c r="H13">
        <v>499</v>
      </c>
      <c r="I13">
        <v>135</v>
      </c>
      <c r="J13">
        <v>0</v>
      </c>
      <c r="K13" s="32">
        <v>57</v>
      </c>
      <c r="L13" s="32">
        <v>2</v>
      </c>
      <c r="M13">
        <v>0</v>
      </c>
      <c r="N13">
        <v>1</v>
      </c>
    </row>
    <row r="14" spans="1:15" x14ac:dyDescent="0.25">
      <c r="A14" t="str">
        <f t="shared" si="0"/>
        <v/>
      </c>
    </row>
    <row r="15" spans="1:15" x14ac:dyDescent="0.25">
      <c r="A15" t="str">
        <f t="shared" si="0"/>
        <v/>
      </c>
    </row>
    <row r="16" spans="1:15" x14ac:dyDescent="0.25">
      <c r="A16" t="str">
        <f t="shared" si="0"/>
        <v/>
      </c>
    </row>
    <row r="17" spans="1:1" x14ac:dyDescent="0.25">
      <c r="A17" t="str">
        <f t="shared" si="0"/>
        <v/>
      </c>
    </row>
    <row r="18" spans="1:1" x14ac:dyDescent="0.25">
      <c r="A18" t="str">
        <f t="shared" si="0"/>
        <v/>
      </c>
    </row>
    <row r="19" spans="1:1" x14ac:dyDescent="0.25">
      <c r="A19" t="str">
        <f t="shared" si="0"/>
        <v/>
      </c>
    </row>
    <row r="20" spans="1:1" x14ac:dyDescent="0.25">
      <c r="A20" t="str">
        <f t="shared" si="0"/>
        <v/>
      </c>
    </row>
    <row r="21" spans="1:1" x14ac:dyDescent="0.25">
      <c r="A21" t="str">
        <f t="shared" si="0"/>
        <v/>
      </c>
    </row>
    <row r="22" spans="1:1" x14ac:dyDescent="0.25">
      <c r="A22" t="str">
        <f t="shared" si="0"/>
        <v/>
      </c>
    </row>
    <row r="23" spans="1:1" x14ac:dyDescent="0.25">
      <c r="A23" t="str">
        <f t="shared" si="0"/>
        <v/>
      </c>
    </row>
    <row r="24" spans="1:1" x14ac:dyDescent="0.25">
      <c r="A24" t="str">
        <f t="shared" si="0"/>
        <v/>
      </c>
    </row>
    <row r="25" spans="1:1" x14ac:dyDescent="0.25">
      <c r="A25" t="str">
        <f t="shared" si="0"/>
        <v/>
      </c>
    </row>
    <row r="26" spans="1:1" x14ac:dyDescent="0.25">
      <c r="A26" t="str">
        <f t="shared" si="0"/>
        <v/>
      </c>
    </row>
    <row r="27" spans="1:1" x14ac:dyDescent="0.25">
      <c r="A27" t="str">
        <f t="shared" si="0"/>
        <v/>
      </c>
    </row>
    <row r="28" spans="1:1" x14ac:dyDescent="0.25">
      <c r="A28" t="str">
        <f t="shared" si="0"/>
        <v/>
      </c>
    </row>
    <row r="29" spans="1:1" x14ac:dyDescent="0.25">
      <c r="A29" t="str">
        <f t="shared" si="0"/>
        <v/>
      </c>
    </row>
    <row r="30" spans="1:1" x14ac:dyDescent="0.25">
      <c r="A30" t="str">
        <f t="shared" si="0"/>
        <v/>
      </c>
    </row>
    <row r="31" spans="1:1" x14ac:dyDescent="0.25">
      <c r="A31" t="str">
        <f t="shared" si="0"/>
        <v/>
      </c>
    </row>
    <row r="32" spans="1:1" x14ac:dyDescent="0.25">
      <c r="A32" t="str">
        <f t="shared" si="0"/>
        <v/>
      </c>
    </row>
    <row r="33" spans="1:1" x14ac:dyDescent="0.25">
      <c r="A33" t="str">
        <f t="shared" si="0"/>
        <v/>
      </c>
    </row>
    <row r="34" spans="1:1" x14ac:dyDescent="0.25">
      <c r="A34" t="str">
        <f t="shared" si="0"/>
        <v/>
      </c>
    </row>
    <row r="35" spans="1:1" x14ac:dyDescent="0.25">
      <c r="A35" t="str">
        <f t="shared" si="0"/>
        <v/>
      </c>
    </row>
    <row r="36" spans="1:1" x14ac:dyDescent="0.25">
      <c r="A36" t="str">
        <f t="shared" si="0"/>
        <v/>
      </c>
    </row>
    <row r="37" spans="1:1" x14ac:dyDescent="0.25">
      <c r="A37" t="str">
        <f t="shared" si="0"/>
        <v/>
      </c>
    </row>
    <row r="38" spans="1:1" x14ac:dyDescent="0.25">
      <c r="A38" t="str">
        <f t="shared" si="0"/>
        <v/>
      </c>
    </row>
    <row r="39" spans="1:1" x14ac:dyDescent="0.25">
      <c r="A39" t="str">
        <f t="shared" si="0"/>
        <v/>
      </c>
    </row>
    <row r="40" spans="1:1" x14ac:dyDescent="0.25">
      <c r="A40" t="str">
        <f t="shared" si="0"/>
        <v/>
      </c>
    </row>
    <row r="41" spans="1:1" x14ac:dyDescent="0.25">
      <c r="A41" t="str">
        <f t="shared" si="0"/>
        <v/>
      </c>
    </row>
    <row r="42" spans="1:1" x14ac:dyDescent="0.25">
      <c r="A42" t="str">
        <f t="shared" si="0"/>
        <v/>
      </c>
    </row>
    <row r="43" spans="1:1" x14ac:dyDescent="0.25">
      <c r="A43" t="str">
        <f t="shared" si="0"/>
        <v/>
      </c>
    </row>
    <row r="44" spans="1:1" x14ac:dyDescent="0.25">
      <c r="A44" t="str">
        <f t="shared" si="0"/>
        <v/>
      </c>
    </row>
    <row r="45" spans="1:1" x14ac:dyDescent="0.25">
      <c r="A45" t="str">
        <f t="shared" si="0"/>
        <v/>
      </c>
    </row>
    <row r="46" spans="1:1" x14ac:dyDescent="0.25">
      <c r="A46" t="str">
        <f t="shared" si="0"/>
        <v/>
      </c>
    </row>
    <row r="47" spans="1:1" x14ac:dyDescent="0.25">
      <c r="A47" t="str">
        <f t="shared" si="0"/>
        <v/>
      </c>
    </row>
    <row r="48" spans="1:1" x14ac:dyDescent="0.25">
      <c r="A48" t="str">
        <f t="shared" si="0"/>
        <v/>
      </c>
    </row>
    <row r="49" spans="1:1" x14ac:dyDescent="0.25">
      <c r="A49" t="str">
        <f t="shared" si="0"/>
        <v/>
      </c>
    </row>
    <row r="50" spans="1:1" x14ac:dyDescent="0.25">
      <c r="A50" t="str">
        <f t="shared" si="0"/>
        <v/>
      </c>
    </row>
    <row r="51" spans="1:1" x14ac:dyDescent="0.25">
      <c r="A51" t="str">
        <f t="shared" si="0"/>
        <v/>
      </c>
    </row>
    <row r="52" spans="1:1" x14ac:dyDescent="0.25">
      <c r="A52" t="str">
        <f t="shared" si="0"/>
        <v/>
      </c>
    </row>
    <row r="53" spans="1:1" x14ac:dyDescent="0.25">
      <c r="A53" t="str">
        <f t="shared" si="0"/>
        <v/>
      </c>
    </row>
    <row r="54" spans="1:1" x14ac:dyDescent="0.25">
      <c r="A54" t="str">
        <f t="shared" si="0"/>
        <v/>
      </c>
    </row>
    <row r="55" spans="1:1" x14ac:dyDescent="0.25">
      <c r="A55" t="str">
        <f t="shared" si="0"/>
        <v/>
      </c>
    </row>
    <row r="56" spans="1:1" x14ac:dyDescent="0.25">
      <c r="A56" t="str">
        <f t="shared" si="0"/>
        <v/>
      </c>
    </row>
    <row r="57" spans="1:1" x14ac:dyDescent="0.25">
      <c r="A57" t="str">
        <f t="shared" si="0"/>
        <v/>
      </c>
    </row>
    <row r="58" spans="1:1" x14ac:dyDescent="0.25">
      <c r="A58" t="str">
        <f t="shared" si="0"/>
        <v/>
      </c>
    </row>
    <row r="59" spans="1:1" x14ac:dyDescent="0.25">
      <c r="A59" t="str">
        <f t="shared" si="0"/>
        <v/>
      </c>
    </row>
    <row r="60" spans="1:1" x14ac:dyDescent="0.25">
      <c r="A60" t="str">
        <f t="shared" si="0"/>
        <v/>
      </c>
    </row>
    <row r="61" spans="1:1" x14ac:dyDescent="0.25">
      <c r="A61" t="str">
        <f t="shared" si="0"/>
        <v/>
      </c>
    </row>
    <row r="62" spans="1:1" x14ac:dyDescent="0.25">
      <c r="A62" t="str">
        <f t="shared" si="0"/>
        <v/>
      </c>
    </row>
    <row r="63" spans="1:1" x14ac:dyDescent="0.25">
      <c r="A63" t="str">
        <f t="shared" si="0"/>
        <v/>
      </c>
    </row>
    <row r="64" spans="1:1" x14ac:dyDescent="0.25">
      <c r="A64" t="str">
        <f t="shared" si="0"/>
        <v/>
      </c>
    </row>
    <row r="65" spans="1:1" x14ac:dyDescent="0.25">
      <c r="A65" t="str">
        <f t="shared" si="0"/>
        <v/>
      </c>
    </row>
    <row r="66" spans="1:1" x14ac:dyDescent="0.25">
      <c r="A66" t="str">
        <f t="shared" si="0"/>
        <v/>
      </c>
    </row>
    <row r="67" spans="1:1" x14ac:dyDescent="0.25">
      <c r="A67" t="str">
        <f t="shared" si="0"/>
        <v/>
      </c>
    </row>
    <row r="68" spans="1:1" x14ac:dyDescent="0.25">
      <c r="A68" t="str">
        <f t="shared" ref="A68:A131" si="1">IF(B68&gt;0,A67+1,"")</f>
        <v/>
      </c>
    </row>
    <row r="69" spans="1:1" x14ac:dyDescent="0.25">
      <c r="A69" t="str">
        <f t="shared" si="1"/>
        <v/>
      </c>
    </row>
    <row r="70" spans="1:1" x14ac:dyDescent="0.25">
      <c r="A70" t="str">
        <f t="shared" si="1"/>
        <v/>
      </c>
    </row>
    <row r="71" spans="1:1" x14ac:dyDescent="0.25">
      <c r="A71" t="str">
        <f t="shared" si="1"/>
        <v/>
      </c>
    </row>
    <row r="72" spans="1:1" x14ac:dyDescent="0.25">
      <c r="A72" t="str">
        <f t="shared" si="1"/>
        <v/>
      </c>
    </row>
    <row r="73" spans="1:1" x14ac:dyDescent="0.25">
      <c r="A73" t="str">
        <f t="shared" si="1"/>
        <v/>
      </c>
    </row>
    <row r="74" spans="1:1" x14ac:dyDescent="0.25">
      <c r="A74" t="str">
        <f t="shared" si="1"/>
        <v/>
      </c>
    </row>
    <row r="75" spans="1:1" x14ac:dyDescent="0.25">
      <c r="A75" t="str">
        <f t="shared" si="1"/>
        <v/>
      </c>
    </row>
    <row r="76" spans="1:1" x14ac:dyDescent="0.25">
      <c r="A76" t="str">
        <f t="shared" si="1"/>
        <v/>
      </c>
    </row>
    <row r="77" spans="1:1" x14ac:dyDescent="0.25">
      <c r="A77" t="str">
        <f t="shared" si="1"/>
        <v/>
      </c>
    </row>
    <row r="78" spans="1:1" x14ac:dyDescent="0.25">
      <c r="A78" t="str">
        <f t="shared" si="1"/>
        <v/>
      </c>
    </row>
    <row r="79" spans="1:1" x14ac:dyDescent="0.25">
      <c r="A79" t="str">
        <f t="shared" si="1"/>
        <v/>
      </c>
    </row>
    <row r="80" spans="1:1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59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  <row r="244" spans="1:1" x14ac:dyDescent="0.25">
      <c r="A244" t="str">
        <f t="shared" si="3"/>
        <v/>
      </c>
    </row>
    <row r="245" spans="1:1" x14ac:dyDescent="0.25">
      <c r="A245" t="str">
        <f t="shared" si="3"/>
        <v/>
      </c>
    </row>
    <row r="246" spans="1:1" x14ac:dyDescent="0.25">
      <c r="A246" t="str">
        <f t="shared" si="3"/>
        <v/>
      </c>
    </row>
    <row r="247" spans="1:1" x14ac:dyDescent="0.25">
      <c r="A247" t="str">
        <f t="shared" si="3"/>
        <v/>
      </c>
    </row>
    <row r="248" spans="1:1" x14ac:dyDescent="0.25">
      <c r="A248" t="str">
        <f t="shared" si="3"/>
        <v/>
      </c>
    </row>
    <row r="249" spans="1:1" x14ac:dyDescent="0.25">
      <c r="A249" t="str">
        <f t="shared" si="3"/>
        <v/>
      </c>
    </row>
    <row r="250" spans="1:1" x14ac:dyDescent="0.25">
      <c r="A250" t="str">
        <f t="shared" si="3"/>
        <v/>
      </c>
    </row>
    <row r="251" spans="1:1" x14ac:dyDescent="0.25">
      <c r="A251" t="str">
        <f t="shared" si="3"/>
        <v/>
      </c>
    </row>
    <row r="252" spans="1:1" x14ac:dyDescent="0.25">
      <c r="A252" t="str">
        <f t="shared" si="3"/>
        <v/>
      </c>
    </row>
    <row r="253" spans="1:1" x14ac:dyDescent="0.25">
      <c r="A253" t="str">
        <f t="shared" si="3"/>
        <v/>
      </c>
    </row>
    <row r="254" spans="1:1" x14ac:dyDescent="0.25">
      <c r="A254" t="str">
        <f t="shared" si="3"/>
        <v/>
      </c>
    </row>
    <row r="255" spans="1:1" x14ac:dyDescent="0.25">
      <c r="A255" t="str">
        <f t="shared" si="3"/>
        <v/>
      </c>
    </row>
    <row r="256" spans="1:1" x14ac:dyDescent="0.25">
      <c r="A256" t="str">
        <f t="shared" si="3"/>
        <v/>
      </c>
    </row>
    <row r="257" spans="1:1" x14ac:dyDescent="0.25">
      <c r="A257" t="str">
        <f t="shared" si="3"/>
        <v/>
      </c>
    </row>
    <row r="258" spans="1:1" x14ac:dyDescent="0.25">
      <c r="A258" t="str">
        <f t="shared" si="3"/>
        <v/>
      </c>
    </row>
    <row r="259" spans="1:1" x14ac:dyDescent="0.25">
      <c r="A259" t="str">
        <f t="shared" si="3"/>
        <v/>
      </c>
    </row>
    <row r="260" spans="1:1" x14ac:dyDescent="0.25">
      <c r="A260" t="str">
        <f t="shared" ref="A260:A323" si="4">IF(B260&gt;0,A259+1,"")</f>
        <v/>
      </c>
    </row>
    <row r="261" spans="1:1" x14ac:dyDescent="0.25">
      <c r="A261" t="str">
        <f t="shared" si="4"/>
        <v/>
      </c>
    </row>
    <row r="262" spans="1:1" x14ac:dyDescent="0.25">
      <c r="A262" t="str">
        <f t="shared" si="4"/>
        <v/>
      </c>
    </row>
    <row r="263" spans="1:1" x14ac:dyDescent="0.25">
      <c r="A263" t="str">
        <f t="shared" si="4"/>
        <v/>
      </c>
    </row>
    <row r="264" spans="1:1" x14ac:dyDescent="0.25">
      <c r="A264" t="str">
        <f t="shared" si="4"/>
        <v/>
      </c>
    </row>
    <row r="265" spans="1:1" x14ac:dyDescent="0.25">
      <c r="A265" t="str">
        <f t="shared" si="4"/>
        <v/>
      </c>
    </row>
    <row r="266" spans="1:1" x14ac:dyDescent="0.25">
      <c r="A266" t="str">
        <f t="shared" si="4"/>
        <v/>
      </c>
    </row>
    <row r="267" spans="1:1" x14ac:dyDescent="0.25">
      <c r="A267" t="str">
        <f t="shared" si="4"/>
        <v/>
      </c>
    </row>
    <row r="268" spans="1:1" x14ac:dyDescent="0.25">
      <c r="A268" t="str">
        <f t="shared" si="4"/>
        <v/>
      </c>
    </row>
    <row r="269" spans="1:1" x14ac:dyDescent="0.25">
      <c r="A269" t="str">
        <f t="shared" si="4"/>
        <v/>
      </c>
    </row>
    <row r="270" spans="1:1" x14ac:dyDescent="0.25">
      <c r="A270" t="str">
        <f t="shared" si="4"/>
        <v/>
      </c>
    </row>
    <row r="271" spans="1:1" x14ac:dyDescent="0.25">
      <c r="A271" t="str">
        <f t="shared" si="4"/>
        <v/>
      </c>
    </row>
    <row r="272" spans="1:1" x14ac:dyDescent="0.25">
      <c r="A272" t="str">
        <f t="shared" si="4"/>
        <v/>
      </c>
    </row>
    <row r="273" spans="1:1" x14ac:dyDescent="0.25">
      <c r="A273" t="str">
        <f t="shared" si="4"/>
        <v/>
      </c>
    </row>
    <row r="274" spans="1:1" x14ac:dyDescent="0.25">
      <c r="A274" t="str">
        <f t="shared" si="4"/>
        <v/>
      </c>
    </row>
    <row r="275" spans="1:1" x14ac:dyDescent="0.25">
      <c r="A275" t="str">
        <f t="shared" si="4"/>
        <v/>
      </c>
    </row>
    <row r="276" spans="1:1" x14ac:dyDescent="0.25">
      <c r="A276" t="str">
        <f t="shared" si="4"/>
        <v/>
      </c>
    </row>
    <row r="277" spans="1:1" x14ac:dyDescent="0.25">
      <c r="A277" t="str">
        <f t="shared" si="4"/>
        <v/>
      </c>
    </row>
    <row r="278" spans="1:1" x14ac:dyDescent="0.25">
      <c r="A278" t="str">
        <f t="shared" si="4"/>
        <v/>
      </c>
    </row>
    <row r="279" spans="1:1" x14ac:dyDescent="0.25">
      <c r="A279" t="str">
        <f t="shared" si="4"/>
        <v/>
      </c>
    </row>
    <row r="280" spans="1:1" x14ac:dyDescent="0.25">
      <c r="A280" t="str">
        <f t="shared" si="4"/>
        <v/>
      </c>
    </row>
    <row r="281" spans="1:1" x14ac:dyDescent="0.25">
      <c r="A281" t="str">
        <f t="shared" si="4"/>
        <v/>
      </c>
    </row>
    <row r="282" spans="1:1" x14ac:dyDescent="0.25">
      <c r="A282" t="str">
        <f t="shared" si="4"/>
        <v/>
      </c>
    </row>
    <row r="283" spans="1:1" x14ac:dyDescent="0.25">
      <c r="A283" t="str">
        <f t="shared" si="4"/>
        <v/>
      </c>
    </row>
    <row r="284" spans="1:1" x14ac:dyDescent="0.25">
      <c r="A284" t="str">
        <f t="shared" si="4"/>
        <v/>
      </c>
    </row>
    <row r="285" spans="1:1" x14ac:dyDescent="0.25">
      <c r="A285" t="str">
        <f t="shared" si="4"/>
        <v/>
      </c>
    </row>
    <row r="286" spans="1:1" x14ac:dyDescent="0.25">
      <c r="A286" t="str">
        <f t="shared" si="4"/>
        <v/>
      </c>
    </row>
    <row r="287" spans="1:1" x14ac:dyDescent="0.25">
      <c r="A287" t="str">
        <f t="shared" si="4"/>
        <v/>
      </c>
    </row>
    <row r="288" spans="1:1" x14ac:dyDescent="0.25">
      <c r="A288" t="str">
        <f t="shared" si="4"/>
        <v/>
      </c>
    </row>
    <row r="289" spans="1:1" x14ac:dyDescent="0.25">
      <c r="A289" t="str">
        <f t="shared" si="4"/>
        <v/>
      </c>
    </row>
    <row r="290" spans="1:1" x14ac:dyDescent="0.25">
      <c r="A290" t="str">
        <f t="shared" si="4"/>
        <v/>
      </c>
    </row>
    <row r="291" spans="1:1" x14ac:dyDescent="0.25">
      <c r="A291" t="str">
        <f t="shared" si="4"/>
        <v/>
      </c>
    </row>
    <row r="292" spans="1:1" x14ac:dyDescent="0.25">
      <c r="A292" t="str">
        <f t="shared" si="4"/>
        <v/>
      </c>
    </row>
    <row r="293" spans="1:1" x14ac:dyDescent="0.25">
      <c r="A293" t="str">
        <f t="shared" si="4"/>
        <v/>
      </c>
    </row>
    <row r="294" spans="1:1" x14ac:dyDescent="0.25">
      <c r="A294" t="str">
        <f t="shared" si="4"/>
        <v/>
      </c>
    </row>
    <row r="295" spans="1:1" x14ac:dyDescent="0.25">
      <c r="A295" t="str">
        <f t="shared" si="4"/>
        <v/>
      </c>
    </row>
    <row r="296" spans="1:1" x14ac:dyDescent="0.25">
      <c r="A296" t="str">
        <f t="shared" si="4"/>
        <v/>
      </c>
    </row>
    <row r="297" spans="1:1" x14ac:dyDescent="0.25">
      <c r="A297" t="str">
        <f t="shared" si="4"/>
        <v/>
      </c>
    </row>
    <row r="298" spans="1:1" x14ac:dyDescent="0.25">
      <c r="A298" t="str">
        <f t="shared" si="4"/>
        <v/>
      </c>
    </row>
    <row r="299" spans="1:1" x14ac:dyDescent="0.25">
      <c r="A299" t="str">
        <f t="shared" si="4"/>
        <v/>
      </c>
    </row>
    <row r="300" spans="1:1" x14ac:dyDescent="0.25">
      <c r="A300" t="str">
        <f t="shared" si="4"/>
        <v/>
      </c>
    </row>
    <row r="301" spans="1:1" x14ac:dyDescent="0.25">
      <c r="A301" t="str">
        <f t="shared" si="4"/>
        <v/>
      </c>
    </row>
    <row r="302" spans="1:1" x14ac:dyDescent="0.25">
      <c r="A302" t="str">
        <f t="shared" si="4"/>
        <v/>
      </c>
    </row>
    <row r="303" spans="1:1" x14ac:dyDescent="0.25">
      <c r="A303" t="str">
        <f t="shared" si="4"/>
        <v/>
      </c>
    </row>
    <row r="304" spans="1:1" x14ac:dyDescent="0.25">
      <c r="A304" t="str">
        <f t="shared" si="4"/>
        <v/>
      </c>
    </row>
    <row r="305" spans="1:1" x14ac:dyDescent="0.25">
      <c r="A305" t="str">
        <f t="shared" si="4"/>
        <v/>
      </c>
    </row>
    <row r="306" spans="1:1" x14ac:dyDescent="0.25">
      <c r="A306" t="str">
        <f t="shared" si="4"/>
        <v/>
      </c>
    </row>
    <row r="307" spans="1:1" x14ac:dyDescent="0.25">
      <c r="A307" t="str">
        <f t="shared" si="4"/>
        <v/>
      </c>
    </row>
    <row r="308" spans="1:1" x14ac:dyDescent="0.25">
      <c r="A308" t="str">
        <f t="shared" si="4"/>
        <v/>
      </c>
    </row>
    <row r="309" spans="1:1" x14ac:dyDescent="0.25">
      <c r="A309" t="str">
        <f t="shared" si="4"/>
        <v/>
      </c>
    </row>
    <row r="310" spans="1:1" x14ac:dyDescent="0.25">
      <c r="A310" t="str">
        <f t="shared" si="4"/>
        <v/>
      </c>
    </row>
    <row r="311" spans="1:1" x14ac:dyDescent="0.25">
      <c r="A311" t="str">
        <f t="shared" si="4"/>
        <v/>
      </c>
    </row>
    <row r="312" spans="1:1" x14ac:dyDescent="0.25">
      <c r="A312" t="str">
        <f t="shared" si="4"/>
        <v/>
      </c>
    </row>
    <row r="313" spans="1:1" x14ac:dyDescent="0.25">
      <c r="A313" t="str">
        <f t="shared" si="4"/>
        <v/>
      </c>
    </row>
    <row r="314" spans="1:1" x14ac:dyDescent="0.25">
      <c r="A314" t="str">
        <f t="shared" si="4"/>
        <v/>
      </c>
    </row>
    <row r="315" spans="1:1" x14ac:dyDescent="0.25">
      <c r="A315" t="str">
        <f t="shared" si="4"/>
        <v/>
      </c>
    </row>
    <row r="316" spans="1:1" x14ac:dyDescent="0.25">
      <c r="A316" t="str">
        <f t="shared" si="4"/>
        <v/>
      </c>
    </row>
    <row r="317" spans="1:1" x14ac:dyDescent="0.25">
      <c r="A317" t="str">
        <f t="shared" si="4"/>
        <v/>
      </c>
    </row>
    <row r="318" spans="1:1" x14ac:dyDescent="0.25">
      <c r="A318" t="str">
        <f t="shared" si="4"/>
        <v/>
      </c>
    </row>
    <row r="319" spans="1:1" x14ac:dyDescent="0.25">
      <c r="A319" t="str">
        <f t="shared" si="4"/>
        <v/>
      </c>
    </row>
    <row r="320" spans="1:1" x14ac:dyDescent="0.25">
      <c r="A320" t="str">
        <f t="shared" si="4"/>
        <v/>
      </c>
    </row>
    <row r="321" spans="1:1" x14ac:dyDescent="0.25">
      <c r="A321" t="str">
        <f t="shared" si="4"/>
        <v/>
      </c>
    </row>
    <row r="322" spans="1:1" x14ac:dyDescent="0.25">
      <c r="A322" t="str">
        <f t="shared" si="4"/>
        <v/>
      </c>
    </row>
    <row r="323" spans="1:1" x14ac:dyDescent="0.25">
      <c r="A323" t="str">
        <f t="shared" si="4"/>
        <v/>
      </c>
    </row>
    <row r="324" spans="1:1" x14ac:dyDescent="0.25">
      <c r="A324" t="str">
        <f t="shared" ref="A324:A387" si="5">IF(B324&gt;0,A323+1,"")</f>
        <v/>
      </c>
    </row>
    <row r="325" spans="1:1" x14ac:dyDescent="0.25">
      <c r="A325" t="str">
        <f t="shared" si="5"/>
        <v/>
      </c>
    </row>
    <row r="326" spans="1:1" x14ac:dyDescent="0.25">
      <c r="A326" t="str">
        <f t="shared" si="5"/>
        <v/>
      </c>
    </row>
    <row r="327" spans="1:1" x14ac:dyDescent="0.25">
      <c r="A327" t="str">
        <f t="shared" si="5"/>
        <v/>
      </c>
    </row>
    <row r="328" spans="1:1" x14ac:dyDescent="0.25">
      <c r="A328" t="str">
        <f t="shared" si="5"/>
        <v/>
      </c>
    </row>
    <row r="329" spans="1:1" x14ac:dyDescent="0.25">
      <c r="A329" t="str">
        <f t="shared" si="5"/>
        <v/>
      </c>
    </row>
    <row r="330" spans="1:1" x14ac:dyDescent="0.25">
      <c r="A330" t="str">
        <f t="shared" si="5"/>
        <v/>
      </c>
    </row>
    <row r="331" spans="1:1" x14ac:dyDescent="0.25">
      <c r="A331" t="str">
        <f t="shared" si="5"/>
        <v/>
      </c>
    </row>
    <row r="332" spans="1:1" x14ac:dyDescent="0.25">
      <c r="A332" t="str">
        <f t="shared" si="5"/>
        <v/>
      </c>
    </row>
    <row r="333" spans="1:1" x14ac:dyDescent="0.25">
      <c r="A333" t="str">
        <f t="shared" si="5"/>
        <v/>
      </c>
    </row>
    <row r="334" spans="1:1" x14ac:dyDescent="0.25">
      <c r="A334" t="str">
        <f t="shared" si="5"/>
        <v/>
      </c>
    </row>
    <row r="335" spans="1:1" x14ac:dyDescent="0.25">
      <c r="A335" t="str">
        <f t="shared" si="5"/>
        <v/>
      </c>
    </row>
    <row r="336" spans="1:1" x14ac:dyDescent="0.25">
      <c r="A336" t="str">
        <f t="shared" si="5"/>
        <v/>
      </c>
    </row>
    <row r="337" spans="1:1" x14ac:dyDescent="0.25">
      <c r="A337" t="str">
        <f t="shared" si="5"/>
        <v/>
      </c>
    </row>
    <row r="338" spans="1:1" x14ac:dyDescent="0.25">
      <c r="A338" t="str">
        <f t="shared" si="5"/>
        <v/>
      </c>
    </row>
    <row r="339" spans="1:1" x14ac:dyDescent="0.25">
      <c r="A339" t="str">
        <f t="shared" si="5"/>
        <v/>
      </c>
    </row>
    <row r="340" spans="1:1" x14ac:dyDescent="0.25">
      <c r="A340" t="str">
        <f t="shared" si="5"/>
        <v/>
      </c>
    </row>
    <row r="341" spans="1:1" x14ac:dyDescent="0.25">
      <c r="A341" t="str">
        <f t="shared" si="5"/>
        <v/>
      </c>
    </row>
    <row r="342" spans="1:1" x14ac:dyDescent="0.25">
      <c r="A342" t="str">
        <f t="shared" si="5"/>
        <v/>
      </c>
    </row>
    <row r="343" spans="1:1" x14ac:dyDescent="0.25">
      <c r="A343" t="str">
        <f t="shared" si="5"/>
        <v/>
      </c>
    </row>
    <row r="344" spans="1:1" x14ac:dyDescent="0.25">
      <c r="A344" t="str">
        <f t="shared" si="5"/>
        <v/>
      </c>
    </row>
    <row r="345" spans="1:1" x14ac:dyDescent="0.25">
      <c r="A345" t="str">
        <f t="shared" si="5"/>
        <v/>
      </c>
    </row>
    <row r="346" spans="1:1" x14ac:dyDescent="0.25">
      <c r="A346" t="str">
        <f t="shared" si="5"/>
        <v/>
      </c>
    </row>
    <row r="347" spans="1:1" x14ac:dyDescent="0.25">
      <c r="A347" t="str">
        <f t="shared" si="5"/>
        <v/>
      </c>
    </row>
    <row r="348" spans="1:1" x14ac:dyDescent="0.25">
      <c r="A348" t="str">
        <f t="shared" si="5"/>
        <v/>
      </c>
    </row>
    <row r="349" spans="1:1" x14ac:dyDescent="0.25">
      <c r="A349" t="str">
        <f t="shared" si="5"/>
        <v/>
      </c>
    </row>
    <row r="350" spans="1:1" x14ac:dyDescent="0.25">
      <c r="A350" t="str">
        <f t="shared" si="5"/>
        <v/>
      </c>
    </row>
    <row r="351" spans="1:1" x14ac:dyDescent="0.25">
      <c r="A351" t="str">
        <f t="shared" si="5"/>
        <v/>
      </c>
    </row>
    <row r="352" spans="1:1" x14ac:dyDescent="0.25">
      <c r="A352" t="str">
        <f t="shared" si="5"/>
        <v/>
      </c>
    </row>
    <row r="353" spans="1:1" x14ac:dyDescent="0.25">
      <c r="A353" t="str">
        <f t="shared" si="5"/>
        <v/>
      </c>
    </row>
    <row r="354" spans="1:1" x14ac:dyDescent="0.25">
      <c r="A354" t="str">
        <f t="shared" si="5"/>
        <v/>
      </c>
    </row>
    <row r="355" spans="1:1" x14ac:dyDescent="0.25">
      <c r="A355" t="str">
        <f t="shared" si="5"/>
        <v/>
      </c>
    </row>
    <row r="356" spans="1:1" x14ac:dyDescent="0.25">
      <c r="A356" t="str">
        <f t="shared" si="5"/>
        <v/>
      </c>
    </row>
    <row r="357" spans="1:1" x14ac:dyDescent="0.25">
      <c r="A357" t="str">
        <f t="shared" si="5"/>
        <v/>
      </c>
    </row>
    <row r="358" spans="1:1" x14ac:dyDescent="0.25">
      <c r="A358" t="str">
        <f t="shared" si="5"/>
        <v/>
      </c>
    </row>
    <row r="359" spans="1:1" x14ac:dyDescent="0.25">
      <c r="A359" t="str">
        <f t="shared" si="5"/>
        <v/>
      </c>
    </row>
    <row r="360" spans="1:1" x14ac:dyDescent="0.25">
      <c r="A360" t="str">
        <f t="shared" si="5"/>
        <v/>
      </c>
    </row>
    <row r="361" spans="1:1" x14ac:dyDescent="0.25">
      <c r="A361" t="str">
        <f t="shared" si="5"/>
        <v/>
      </c>
    </row>
    <row r="362" spans="1:1" x14ac:dyDescent="0.25">
      <c r="A362" t="str">
        <f t="shared" si="5"/>
        <v/>
      </c>
    </row>
    <row r="363" spans="1:1" x14ac:dyDescent="0.25">
      <c r="A363" t="str">
        <f t="shared" si="5"/>
        <v/>
      </c>
    </row>
    <row r="364" spans="1:1" x14ac:dyDescent="0.25">
      <c r="A364" t="str">
        <f t="shared" si="5"/>
        <v/>
      </c>
    </row>
    <row r="365" spans="1:1" x14ac:dyDescent="0.25">
      <c r="A365" t="str">
        <f t="shared" si="5"/>
        <v/>
      </c>
    </row>
    <row r="366" spans="1:1" x14ac:dyDescent="0.25">
      <c r="A366" t="str">
        <f t="shared" si="5"/>
        <v/>
      </c>
    </row>
    <row r="367" spans="1:1" x14ac:dyDescent="0.25">
      <c r="A367" t="str">
        <f t="shared" si="5"/>
        <v/>
      </c>
    </row>
    <row r="368" spans="1:1" x14ac:dyDescent="0.25">
      <c r="A368" t="str">
        <f t="shared" si="5"/>
        <v/>
      </c>
    </row>
    <row r="369" spans="1:1" x14ac:dyDescent="0.25">
      <c r="A369" t="str">
        <f t="shared" si="5"/>
        <v/>
      </c>
    </row>
    <row r="370" spans="1:1" x14ac:dyDescent="0.25">
      <c r="A370" t="str">
        <f t="shared" si="5"/>
        <v/>
      </c>
    </row>
    <row r="371" spans="1:1" x14ac:dyDescent="0.25">
      <c r="A371" t="str">
        <f t="shared" si="5"/>
        <v/>
      </c>
    </row>
    <row r="372" spans="1:1" x14ac:dyDescent="0.25">
      <c r="A372" t="str">
        <f t="shared" si="5"/>
        <v/>
      </c>
    </row>
    <row r="373" spans="1:1" x14ac:dyDescent="0.25">
      <c r="A373" t="str">
        <f t="shared" si="5"/>
        <v/>
      </c>
    </row>
    <row r="374" spans="1:1" x14ac:dyDescent="0.25">
      <c r="A374" t="str">
        <f t="shared" si="5"/>
        <v/>
      </c>
    </row>
    <row r="375" spans="1:1" x14ac:dyDescent="0.25">
      <c r="A375" t="str">
        <f t="shared" si="5"/>
        <v/>
      </c>
    </row>
    <row r="376" spans="1:1" x14ac:dyDescent="0.25">
      <c r="A376" t="str">
        <f t="shared" si="5"/>
        <v/>
      </c>
    </row>
    <row r="377" spans="1:1" x14ac:dyDescent="0.25">
      <c r="A377" t="str">
        <f t="shared" si="5"/>
        <v/>
      </c>
    </row>
    <row r="378" spans="1:1" x14ac:dyDescent="0.25">
      <c r="A378" t="str">
        <f t="shared" si="5"/>
        <v/>
      </c>
    </row>
    <row r="379" spans="1:1" x14ac:dyDescent="0.25">
      <c r="A379" t="str">
        <f t="shared" si="5"/>
        <v/>
      </c>
    </row>
    <row r="380" spans="1:1" x14ac:dyDescent="0.25">
      <c r="A380" t="str">
        <f t="shared" si="5"/>
        <v/>
      </c>
    </row>
    <row r="381" spans="1:1" x14ac:dyDescent="0.25">
      <c r="A381" t="str">
        <f t="shared" si="5"/>
        <v/>
      </c>
    </row>
    <row r="382" spans="1:1" x14ac:dyDescent="0.25">
      <c r="A382" t="str">
        <f t="shared" si="5"/>
        <v/>
      </c>
    </row>
    <row r="383" spans="1:1" x14ac:dyDescent="0.25">
      <c r="A383" t="str">
        <f t="shared" si="5"/>
        <v/>
      </c>
    </row>
    <row r="384" spans="1:1" x14ac:dyDescent="0.25">
      <c r="A384" t="str">
        <f t="shared" si="5"/>
        <v/>
      </c>
    </row>
    <row r="385" spans="1:1" x14ac:dyDescent="0.25">
      <c r="A385" t="str">
        <f t="shared" si="5"/>
        <v/>
      </c>
    </row>
    <row r="386" spans="1:1" x14ac:dyDescent="0.25">
      <c r="A386" t="str">
        <f t="shared" si="5"/>
        <v/>
      </c>
    </row>
    <row r="387" spans="1:1" x14ac:dyDescent="0.25">
      <c r="A387" t="str">
        <f t="shared" si="5"/>
        <v/>
      </c>
    </row>
    <row r="388" spans="1:1" x14ac:dyDescent="0.25">
      <c r="A388" t="str">
        <f t="shared" ref="A388:A400" si="6">IF(B388&gt;0,A387+1,"")</f>
        <v/>
      </c>
    </row>
    <row r="389" spans="1:1" x14ac:dyDescent="0.25">
      <c r="A389" t="str">
        <f t="shared" si="6"/>
        <v/>
      </c>
    </row>
    <row r="390" spans="1:1" x14ac:dyDescent="0.25">
      <c r="A390" t="str">
        <f t="shared" si="6"/>
        <v/>
      </c>
    </row>
    <row r="391" spans="1:1" x14ac:dyDescent="0.25">
      <c r="A391" t="str">
        <f t="shared" si="6"/>
        <v/>
      </c>
    </row>
    <row r="392" spans="1:1" x14ac:dyDescent="0.25">
      <c r="A392" t="str">
        <f t="shared" si="6"/>
        <v/>
      </c>
    </row>
    <row r="393" spans="1:1" x14ac:dyDescent="0.25">
      <c r="A393" t="str">
        <f t="shared" si="6"/>
        <v/>
      </c>
    </row>
    <row r="394" spans="1:1" x14ac:dyDescent="0.25">
      <c r="A394" t="str">
        <f t="shared" si="6"/>
        <v/>
      </c>
    </row>
    <row r="395" spans="1:1" x14ac:dyDescent="0.25">
      <c r="A395" t="str">
        <f t="shared" si="6"/>
        <v/>
      </c>
    </row>
    <row r="396" spans="1:1" x14ac:dyDescent="0.25">
      <c r="A396" t="str">
        <f t="shared" si="6"/>
        <v/>
      </c>
    </row>
    <row r="397" spans="1:1" x14ac:dyDescent="0.25">
      <c r="A397" t="str">
        <f t="shared" si="6"/>
        <v/>
      </c>
    </row>
    <row r="398" spans="1:1" x14ac:dyDescent="0.25">
      <c r="A398" t="str">
        <f t="shared" si="6"/>
        <v/>
      </c>
    </row>
    <row r="399" spans="1:1" x14ac:dyDescent="0.25">
      <c r="A399" t="str">
        <f t="shared" si="6"/>
        <v/>
      </c>
    </row>
    <row r="400" spans="1:1" x14ac:dyDescent="0.25">
      <c r="A400" t="str">
        <f t="shared" si="6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"/>
  <sheetViews>
    <sheetView zoomScaleNormal="100" workbookViewId="0">
      <selection activeCell="B7" sqref="B7"/>
    </sheetView>
  </sheetViews>
  <sheetFormatPr defaultColWidth="9.140625" defaultRowHeight="15" x14ac:dyDescent="0.25"/>
  <cols>
    <col min="2" max="2" width="130.7109375" customWidth="1"/>
    <col min="3" max="3" width="49" customWidth="1"/>
  </cols>
  <sheetData>
    <row r="1" spans="1:3" ht="375" x14ac:dyDescent="0.25">
      <c r="A1" s="2" t="s">
        <v>0</v>
      </c>
      <c r="B1" s="4" t="str">
        <f>C1&amp;REPORTE!V3&amp;"  AND b.`anio` ="&amp;REPORTE!V1&amp;" GROUP BY a.`zona` "</f>
        <v xml:space="preserve">SELECT 
  a.`zona`,
  SUM(IF(b.tipo_pedido = 1, 1, 0)) AS p_normal,
  SUM(IF(b.tipo_pedido = 2, 1, 0)) AS p_tardio,
  SUM(b.devolucion_buzon) AS devolucion_buzon,
  SUM(IF(b.devolucion_buzon =1, b.`cajas`, 0)) AS c_devolucion_buzon,
  SUM(IF(b.tipo_pedido = 1, b.`cajas`, 0)) AS c_normal,
  SUM(IF(b.tipo_pedido = 2, b.`cajas`, 0)) AS c_tardio,
  SUM(IF(d.`tipo_solicitud` = 1, b.`cajas`, 0)) s_c_consejera,
  SUM(IF(d.`tipo_solicitud` = 2, b.`cajas`, 0)) s_c_gerentes,
  SUM(IF(d.`tipo_solicitud` = 3, b.`cajas`, 0)) s_c_buzones,
  SUM(IF(d.`tipo_solicitud` = 1, 1, 0)) s_p_consejera,
  SUM(IF(d.`tipo_solicitud` = 2, 1, 0)) s_p_gerentes,
  SUM(IF(d.`tipo_solicitud` = 3, 1, 0)) s_p_buzones
FROM
  consejeras a 
  INNER JOIN pedidos b 
    ON a.`codigo` = b.`codigo` 
    LEFT JOIN solicitudes d ON d.`pedido_id` = b.`id`
WHERE b.`campania` = 1  AND b.`anio` =2015 GROUP BY a.`zona` </v>
      </c>
      <c r="C1" s="26" t="s">
        <v>30</v>
      </c>
    </row>
    <row r="2" spans="1:3" x14ac:dyDescent="0.25">
      <c r="B2" s="3">
        <f>LEN(B1)</f>
        <v>889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0.14999847407452621"/>
  </sheetPr>
  <dimension ref="A1:AF44"/>
  <sheetViews>
    <sheetView showGridLines="0" tabSelected="1" zoomScaleNormal="100" workbookViewId="0">
      <selection activeCell="E11" sqref="E11"/>
    </sheetView>
  </sheetViews>
  <sheetFormatPr defaultColWidth="11.42578125" defaultRowHeight="13.5" x14ac:dyDescent="0.25"/>
  <cols>
    <col min="1" max="1" width="11.5703125" style="9" customWidth="1"/>
    <col min="2" max="5" width="10.7109375" style="9" customWidth="1"/>
    <col min="6" max="6" width="2.7109375" style="9" customWidth="1"/>
    <col min="7" max="9" width="10.7109375" style="9" customWidth="1"/>
    <col min="10" max="10" width="10.7109375" style="22" customWidth="1"/>
    <col min="11" max="11" width="8.7109375" style="9" customWidth="1"/>
    <col min="12" max="14" width="10.7109375" style="9" customWidth="1"/>
    <col min="15" max="15" width="2.7109375" style="9" customWidth="1"/>
    <col min="16" max="18" width="10.7109375" style="9" customWidth="1"/>
    <col min="19" max="19" width="10.7109375" style="8" customWidth="1"/>
    <col min="20" max="20" width="8" style="9" customWidth="1"/>
    <col min="21" max="21" width="10.5703125" style="9" bestFit="1" customWidth="1"/>
    <col min="22" max="22" width="10.7109375" style="9" bestFit="1" customWidth="1"/>
    <col min="23" max="23" width="8.42578125" style="9" customWidth="1"/>
    <col min="24" max="24" width="6.85546875" style="9" customWidth="1"/>
    <col min="25" max="25" width="8" style="9" customWidth="1"/>
    <col min="26" max="26" width="8.5703125" style="9" customWidth="1"/>
    <col min="27" max="16384" width="11.42578125" style="9"/>
  </cols>
  <sheetData>
    <row r="1" spans="1:32" ht="15.75" customHeight="1" x14ac:dyDescent="0.3">
      <c r="A1" s="5"/>
      <c r="B1" s="6"/>
      <c r="C1" s="33" t="s">
        <v>6</v>
      </c>
      <c r="D1" s="33"/>
      <c r="E1" s="33"/>
      <c r="F1" s="6"/>
      <c r="G1" s="34" t="s">
        <v>7</v>
      </c>
      <c r="H1" s="34"/>
      <c r="I1" s="34"/>
      <c r="J1" s="7"/>
      <c r="K1" s="6"/>
      <c r="L1" s="33" t="s">
        <v>8</v>
      </c>
      <c r="M1" s="33"/>
      <c r="N1" s="33"/>
      <c r="O1" s="6"/>
      <c r="P1" s="34" t="s">
        <v>9</v>
      </c>
      <c r="Q1" s="34"/>
      <c r="R1" s="34"/>
      <c r="U1" s="9" t="s">
        <v>5</v>
      </c>
      <c r="V1" s="9">
        <v>2015</v>
      </c>
      <c r="AA1" s="10"/>
      <c r="AB1" s="10"/>
      <c r="AC1" s="10"/>
      <c r="AD1" s="10"/>
      <c r="AE1" s="10"/>
      <c r="AF1" s="10"/>
    </row>
    <row r="2" spans="1:32" ht="3.75" customHeight="1" x14ac:dyDescent="0.3">
      <c r="A2" s="5"/>
      <c r="B2" s="6"/>
      <c r="C2" s="11"/>
      <c r="D2" s="12"/>
      <c r="E2" s="13"/>
      <c r="F2" s="6"/>
      <c r="G2" s="11"/>
      <c r="H2" s="12"/>
      <c r="I2" s="13"/>
      <c r="J2" s="14"/>
      <c r="K2" s="6"/>
      <c r="L2" s="11"/>
      <c r="M2" s="12"/>
      <c r="N2" s="13"/>
      <c r="O2" s="6"/>
      <c r="P2" s="11"/>
      <c r="Q2" s="12"/>
      <c r="R2" s="13"/>
      <c r="S2" s="15"/>
      <c r="AA2" s="10"/>
      <c r="AB2" s="10"/>
      <c r="AC2" s="10"/>
      <c r="AD2" s="10"/>
      <c r="AE2" s="10"/>
      <c r="AF2" s="10"/>
    </row>
    <row r="3" spans="1:32" ht="13.5" customHeight="1" x14ac:dyDescent="0.3">
      <c r="A3" s="16" t="s">
        <v>3</v>
      </c>
      <c r="B3" s="17" t="s">
        <v>1</v>
      </c>
      <c r="C3" s="17" t="s">
        <v>10</v>
      </c>
      <c r="D3" s="17" t="s">
        <v>11</v>
      </c>
      <c r="E3" s="18" t="s">
        <v>12</v>
      </c>
      <c r="F3" s="6"/>
      <c r="G3" s="17" t="s">
        <v>13</v>
      </c>
      <c r="H3" s="17" t="s">
        <v>14</v>
      </c>
      <c r="I3" s="17" t="s">
        <v>15</v>
      </c>
      <c r="J3" s="19" t="s">
        <v>16</v>
      </c>
      <c r="K3" s="6"/>
      <c r="L3" s="17" t="s">
        <v>10</v>
      </c>
      <c r="M3" s="17" t="s">
        <v>11</v>
      </c>
      <c r="N3" s="18" t="s">
        <v>12</v>
      </c>
      <c r="O3" s="6"/>
      <c r="P3" s="17" t="s">
        <v>13</v>
      </c>
      <c r="Q3" s="17" t="s">
        <v>14</v>
      </c>
      <c r="R3" s="17" t="s">
        <v>15</v>
      </c>
      <c r="S3" s="20" t="s">
        <v>16</v>
      </c>
      <c r="U3" s="9" t="s">
        <v>2</v>
      </c>
      <c r="V3" s="9">
        <v>1</v>
      </c>
      <c r="AA3" s="10"/>
      <c r="AB3" s="10"/>
      <c r="AC3" s="10"/>
      <c r="AD3" s="10"/>
      <c r="AE3" s="10"/>
      <c r="AF3" s="10"/>
    </row>
    <row r="4" spans="1:32" x14ac:dyDescent="0.25">
      <c r="A4" s="21"/>
      <c r="B4" s="7">
        <v>201</v>
      </c>
      <c r="C4" s="9">
        <f>SUMIF(Info!B:B,B4,Info!C:C)</f>
        <v>0</v>
      </c>
      <c r="D4" s="9">
        <f>SUMIF(Info!B:B,B4,Info!D:D)</f>
        <v>10</v>
      </c>
      <c r="E4" s="9">
        <f>SUMIF(Info!B:B,B4,Info!F:F)</f>
        <v>110</v>
      </c>
      <c r="G4" s="9">
        <f>SUMIF(Info!B:B,B4,Info!I:I)</f>
        <v>25</v>
      </c>
      <c r="H4" s="9">
        <f>SUMIF(Info!B:B,B4,Info!J:J)</f>
        <v>44</v>
      </c>
      <c r="I4" s="9">
        <f>SUMIF(Info!B:B,B4,Info!K:K)</f>
        <v>0</v>
      </c>
      <c r="J4" s="22">
        <f>+C4+D4+E4-G4-H4-I4</f>
        <v>51</v>
      </c>
      <c r="K4" s="23"/>
      <c r="L4" s="9">
        <f>SUMIF(Info!B:B,B4,Info!C:C)</f>
        <v>0</v>
      </c>
      <c r="M4" s="9">
        <f>SUMIF(Info!B:B,B4,Info!D:D)</f>
        <v>10</v>
      </c>
      <c r="N4" s="9">
        <f>SUMIF(Info!B:B,B4,Info!E:E)</f>
        <v>2</v>
      </c>
      <c r="P4" s="9">
        <f>SUMIF(Info!B:B,B4,Info!L:L)</f>
        <v>1</v>
      </c>
      <c r="Q4" s="9">
        <f>SUMIF(Info!B:B,B4,Info!M:M)</f>
        <v>1</v>
      </c>
      <c r="R4" s="9">
        <f>SUMIF(Info!B:B,B4,Info!N:N)</f>
        <v>0</v>
      </c>
      <c r="S4" s="22">
        <f>+L4+M4-P4-Q4-R4</f>
        <v>8</v>
      </c>
    </row>
    <row r="5" spans="1:32" x14ac:dyDescent="0.25">
      <c r="A5" s="27"/>
      <c r="B5" s="29">
        <v>202</v>
      </c>
      <c r="C5" s="28">
        <f>SUMIF(Info!B:B,B5,Info!C:C)</f>
        <v>0</v>
      </c>
      <c r="D5" s="28">
        <f>SUMIF(Info!B:B,B5,Info!D:D)</f>
        <v>6</v>
      </c>
      <c r="E5" s="28">
        <f>SUMIF(Info!B:B,B5,Info!F:F)</f>
        <v>0</v>
      </c>
      <c r="G5" s="28">
        <f>SUMIF(Info!B:B,B5,Info!I:I)</f>
        <v>69</v>
      </c>
      <c r="H5" s="28">
        <f>SUMIF(Info!B:B,B5,Info!J:J)</f>
        <v>97</v>
      </c>
      <c r="I5" s="28">
        <f>SUMIF(Info!B:B,B5,Info!K:K)</f>
        <v>0</v>
      </c>
      <c r="J5" s="30">
        <f t="shared" ref="J5:J43" si="0">+C5+D5+E5-G5-H5-I5</f>
        <v>-160</v>
      </c>
      <c r="L5" s="28">
        <f>SUMIF(Info!B:B,B5,Info!C:C)</f>
        <v>0</v>
      </c>
      <c r="M5" s="28">
        <f>SUMIF(Info!B:B,B5,Info!D:D)</f>
        <v>6</v>
      </c>
      <c r="N5" s="28">
        <f>SUMIF(Info!B:B,B5,Info!E:E)</f>
        <v>0</v>
      </c>
      <c r="P5" s="28">
        <f>SUMIF(Info!B:B,B5,Info!L:L)</f>
        <v>1</v>
      </c>
      <c r="Q5" s="28">
        <f>SUMIF(Info!B:B,B5,Info!M:M)</f>
        <v>2</v>
      </c>
      <c r="R5" s="28">
        <f>SUMIF(Info!B:B,B5,Info!N:N)</f>
        <v>0</v>
      </c>
      <c r="S5" s="30">
        <f t="shared" ref="S5:S43" si="1">+L5+M5-P5-Q5-R5</f>
        <v>3</v>
      </c>
    </row>
    <row r="6" spans="1:32" x14ac:dyDescent="0.25">
      <c r="A6" s="21"/>
      <c r="B6" s="7">
        <v>203</v>
      </c>
      <c r="C6" s="9">
        <f>SUMIF(Info!B:B,B6,Info!C:C)</f>
        <v>0</v>
      </c>
      <c r="D6" s="9">
        <f>SUMIF(Info!B:B,B6,Info!D:D)</f>
        <v>8</v>
      </c>
      <c r="E6" s="9">
        <f>SUMIF(Info!B:B,B6,Info!F:F)</f>
        <v>0</v>
      </c>
      <c r="G6" s="9">
        <f>SUMIF(Info!B:B,B6,Info!I:I)</f>
        <v>0</v>
      </c>
      <c r="H6" s="9">
        <f>SUMIF(Info!B:B,B6,Info!J:J)</f>
        <v>0</v>
      </c>
      <c r="I6" s="9">
        <f>SUMIF(Info!B:B,B6,Info!K:K)</f>
        <v>0</v>
      </c>
      <c r="J6" s="22">
        <f t="shared" si="0"/>
        <v>8</v>
      </c>
      <c r="L6" s="9">
        <f>SUMIF(Info!B:B,B6,Info!C:C)</f>
        <v>0</v>
      </c>
      <c r="M6" s="9">
        <f>SUMIF(Info!B:B,B6,Info!D:D)</f>
        <v>8</v>
      </c>
      <c r="N6" s="9">
        <f>SUMIF(Info!B:B,B6,Info!E:E)</f>
        <v>0</v>
      </c>
      <c r="P6" s="9">
        <f>SUMIF(Info!B:B,B6,Info!L:L)</f>
        <v>0</v>
      </c>
      <c r="Q6" s="9">
        <f>SUMIF(Info!B:B,B6,Info!M:M)</f>
        <v>0</v>
      </c>
      <c r="R6" s="9">
        <f>SUMIF(Info!B:B,B6,Info!N:N)</f>
        <v>0</v>
      </c>
      <c r="S6" s="22">
        <f t="shared" si="1"/>
        <v>8</v>
      </c>
      <c r="V6" s="25"/>
    </row>
    <row r="7" spans="1:32" x14ac:dyDescent="0.25">
      <c r="A7" s="27"/>
      <c r="B7" s="29">
        <v>204</v>
      </c>
      <c r="C7" s="28">
        <f>SUMIF(Info!B:B,B7,Info!C:C)</f>
        <v>0</v>
      </c>
      <c r="D7" s="28">
        <f>SUMIF(Info!B:B,B7,Info!D:D)</f>
        <v>12</v>
      </c>
      <c r="E7" s="28">
        <f>SUMIF(Info!B:B,B7,Info!F:F)</f>
        <v>0</v>
      </c>
      <c r="G7" s="28">
        <f>SUMIF(Info!B:B,B7,Info!I:I)</f>
        <v>55</v>
      </c>
      <c r="H7" s="28">
        <f>SUMIF(Info!B:B,B7,Info!J:J)</f>
        <v>59</v>
      </c>
      <c r="I7" s="28">
        <f>SUMIF(Info!B:B,B7,Info!K:K)</f>
        <v>88</v>
      </c>
      <c r="J7" s="30">
        <f t="shared" si="0"/>
        <v>-190</v>
      </c>
      <c r="L7" s="28">
        <f>SUMIF(Info!B:B,B7,Info!C:C)</f>
        <v>0</v>
      </c>
      <c r="M7" s="28">
        <f>SUMIF(Info!B:B,B7,Info!D:D)</f>
        <v>12</v>
      </c>
      <c r="N7" s="28">
        <f>SUMIF(Info!B:B,B7,Info!E:E)</f>
        <v>0</v>
      </c>
      <c r="P7" s="28">
        <f>SUMIF(Info!B:B,B7,Info!L:L)</f>
        <v>1</v>
      </c>
      <c r="Q7" s="28">
        <f>SUMIF(Info!B:B,B7,Info!M:M)</f>
        <v>2</v>
      </c>
      <c r="R7" s="28">
        <f>SUMIF(Info!B:B,B7,Info!N:N)</f>
        <v>1</v>
      </c>
      <c r="S7" s="30">
        <f t="shared" si="1"/>
        <v>8</v>
      </c>
    </row>
    <row r="8" spans="1:32" x14ac:dyDescent="0.25">
      <c r="A8" s="21"/>
      <c r="B8" s="7">
        <v>205</v>
      </c>
      <c r="C8" s="9">
        <f>SUMIF(Info!B:B,B8,Info!C:C)</f>
        <v>0</v>
      </c>
      <c r="D8" s="9">
        <f>SUMIF(Info!B:B,B8,Info!D:D)</f>
        <v>10</v>
      </c>
      <c r="E8" s="9">
        <f>SUMIF(Info!B:B,B8,Info!F:F)</f>
        <v>0</v>
      </c>
      <c r="G8" s="9">
        <f>SUMIF(Info!B:B,B8,Info!I:I)</f>
        <v>95</v>
      </c>
      <c r="H8" s="9">
        <f>SUMIF(Info!B:B,B8,Info!J:J)</f>
        <v>0</v>
      </c>
      <c r="I8" s="9">
        <f>SUMIF(Info!B:B,B8,Info!K:K)</f>
        <v>51</v>
      </c>
      <c r="J8" s="22">
        <f t="shared" si="0"/>
        <v>-136</v>
      </c>
      <c r="L8" s="9">
        <f>SUMIF(Info!B:B,B8,Info!C:C)</f>
        <v>0</v>
      </c>
      <c r="M8" s="9">
        <f>SUMIF(Info!B:B,B8,Info!D:D)</f>
        <v>10</v>
      </c>
      <c r="N8" s="9">
        <f>SUMIF(Info!B:B,B8,Info!E:E)</f>
        <v>0</v>
      </c>
      <c r="P8" s="9">
        <f>SUMIF(Info!B:B,B8,Info!L:L)</f>
        <v>1</v>
      </c>
      <c r="Q8" s="9">
        <f>SUMIF(Info!B:B,B8,Info!M:M)</f>
        <v>0</v>
      </c>
      <c r="R8" s="9">
        <f>SUMIF(Info!B:B,B8,Info!N:N)</f>
        <v>1</v>
      </c>
      <c r="S8" s="22">
        <f t="shared" si="1"/>
        <v>8</v>
      </c>
    </row>
    <row r="9" spans="1:32" ht="14.25" customHeight="1" x14ac:dyDescent="0.25">
      <c r="A9" s="27"/>
      <c r="B9" s="29">
        <v>206</v>
      </c>
      <c r="C9" s="28">
        <f>SUMIF(Info!B:B,B9,Info!C:C)</f>
        <v>33</v>
      </c>
      <c r="D9" s="28">
        <f>SUMIF(Info!B:B,B9,Info!D:D)</f>
        <v>12</v>
      </c>
      <c r="E9" s="28">
        <f>SUMIF(Info!B:B,B9,Info!F:F)</f>
        <v>20</v>
      </c>
      <c r="G9" s="28">
        <f>SUMIF(Info!B:B,B9,Info!I:I)</f>
        <v>0</v>
      </c>
      <c r="H9" s="28">
        <f>SUMIF(Info!B:B,B9,Info!J:J)</f>
        <v>339</v>
      </c>
      <c r="I9" s="28">
        <f>SUMIF(Info!B:B,B9,Info!K:K)</f>
        <v>0</v>
      </c>
      <c r="J9" s="30">
        <f t="shared" si="0"/>
        <v>-274</v>
      </c>
      <c r="L9" s="28">
        <f>SUMIF(Info!B:B,B9,Info!C:C)</f>
        <v>33</v>
      </c>
      <c r="M9" s="28">
        <f>SUMIF(Info!B:B,B9,Info!D:D)</f>
        <v>12</v>
      </c>
      <c r="N9" s="28">
        <f>SUMIF(Info!B:B,B9,Info!E:E)</f>
        <v>1</v>
      </c>
      <c r="P9" s="28">
        <f>SUMIF(Info!B:B,B9,Info!L:L)</f>
        <v>0</v>
      </c>
      <c r="Q9" s="28">
        <f>SUMIF(Info!B:B,B9,Info!M:M)</f>
        <v>6</v>
      </c>
      <c r="R9" s="28">
        <f>SUMIF(Info!B:B,B9,Info!N:N)</f>
        <v>0</v>
      </c>
      <c r="S9" s="30">
        <f t="shared" si="1"/>
        <v>39</v>
      </c>
    </row>
    <row r="10" spans="1:32" x14ac:dyDescent="0.25">
      <c r="A10" s="21"/>
      <c r="B10" s="7">
        <v>207</v>
      </c>
      <c r="C10" s="9">
        <f>SUMIF(Info!B:B,B10,Info!C:C)</f>
        <v>0</v>
      </c>
      <c r="D10" s="9">
        <f>SUMIF(Info!B:B,B10,Info!D:D)</f>
        <v>8</v>
      </c>
      <c r="E10" s="9">
        <f>SUMIF(Info!B:B,B10,Info!F:F)</f>
        <v>0</v>
      </c>
      <c r="F10" s="24"/>
      <c r="G10" s="9">
        <f>SUMIF(Info!B:B,B10,Info!I:I)</f>
        <v>63</v>
      </c>
      <c r="H10" s="9">
        <f>SUMIF(Info!B:B,B10,Info!J:J)</f>
        <v>33</v>
      </c>
      <c r="I10" s="9">
        <f>SUMIF(Info!B:B,B10,Info!K:K)</f>
        <v>0</v>
      </c>
      <c r="J10" s="22">
        <f t="shared" si="0"/>
        <v>-88</v>
      </c>
      <c r="K10" s="24"/>
      <c r="L10" s="9">
        <f>SUMIF(Info!B:B,B10,Info!C:C)</f>
        <v>0</v>
      </c>
      <c r="M10" s="9">
        <f>SUMIF(Info!B:B,B10,Info!D:D)</f>
        <v>8</v>
      </c>
      <c r="N10" s="9">
        <f>SUMIF(Info!B:B,B10,Info!E:E)</f>
        <v>0</v>
      </c>
      <c r="O10" s="24"/>
      <c r="P10" s="9">
        <f>SUMIF(Info!B:B,B10,Info!L:L)</f>
        <v>1</v>
      </c>
      <c r="Q10" s="9">
        <f>SUMIF(Info!B:B,B10,Info!M:M)</f>
        <v>1</v>
      </c>
      <c r="R10" s="9">
        <f>SUMIF(Info!B:B,B10,Info!N:N)</f>
        <v>0</v>
      </c>
      <c r="S10" s="22">
        <f t="shared" si="1"/>
        <v>6</v>
      </c>
    </row>
    <row r="11" spans="1:32" x14ac:dyDescent="0.25">
      <c r="A11" s="27"/>
      <c r="B11" s="29">
        <v>208</v>
      </c>
      <c r="C11" s="28">
        <f>SUMIF(Info!B:B,B11,Info!C:C)</f>
        <v>0</v>
      </c>
      <c r="D11" s="28">
        <f>SUMIF(Info!B:B,B11,Info!D:D)</f>
        <v>6</v>
      </c>
      <c r="E11" s="28">
        <f>SUMIF(Info!B:B,B11,Info!F:F)</f>
        <v>0</v>
      </c>
      <c r="G11" s="28">
        <f>SUMIF(Info!B:B,B11,Info!I:I)</f>
        <v>68</v>
      </c>
      <c r="H11" s="28">
        <f>SUMIF(Info!B:B,B11,Info!J:J)</f>
        <v>0</v>
      </c>
      <c r="I11" s="28">
        <f>SUMIF(Info!B:B,B11,Info!K:K)</f>
        <v>0</v>
      </c>
      <c r="J11" s="30">
        <f t="shared" si="0"/>
        <v>-62</v>
      </c>
      <c r="L11" s="28">
        <f>SUMIF(Info!B:B,B11,Info!C:C)</f>
        <v>0</v>
      </c>
      <c r="M11" s="28">
        <f>SUMIF(Info!B:B,B11,Info!D:D)</f>
        <v>6</v>
      </c>
      <c r="N11" s="28">
        <f>SUMIF(Info!B:B,B11,Info!E:E)</f>
        <v>0</v>
      </c>
      <c r="P11" s="28">
        <f>SUMIF(Info!B:B,B11,Info!L:L)</f>
        <v>1</v>
      </c>
      <c r="Q11" s="28">
        <f>SUMIF(Info!B:B,B11,Info!M:M)</f>
        <v>0</v>
      </c>
      <c r="R11" s="28">
        <f>SUMIF(Info!B:B,B11,Info!N:N)</f>
        <v>0</v>
      </c>
      <c r="S11" s="30">
        <f t="shared" si="1"/>
        <v>5</v>
      </c>
    </row>
    <row r="12" spans="1:32" x14ac:dyDescent="0.25">
      <c r="A12" s="21"/>
      <c r="B12" s="7">
        <v>209</v>
      </c>
      <c r="C12" s="9">
        <f>SUMIF(Info!B:B,B12,Info!C:C)</f>
        <v>0</v>
      </c>
      <c r="D12" s="9">
        <f>SUMIF(Info!B:B,B12,Info!D:D)</f>
        <v>9</v>
      </c>
      <c r="E12" s="9">
        <f>SUMIF(Info!B:B,B12,Info!F:F)</f>
        <v>0</v>
      </c>
      <c r="G12" s="9">
        <f>SUMIF(Info!B:B,B12,Info!I:I)</f>
        <v>100</v>
      </c>
      <c r="H12" s="9">
        <f>SUMIF(Info!B:B,B12,Info!J:J)</f>
        <v>21</v>
      </c>
      <c r="I12" s="9">
        <f>SUMIF(Info!B:B,B12,Info!K:K)</f>
        <v>0</v>
      </c>
      <c r="J12" s="22">
        <f t="shared" si="0"/>
        <v>-112</v>
      </c>
      <c r="L12" s="9">
        <f>SUMIF(Info!B:B,B12,Info!C:C)</f>
        <v>0</v>
      </c>
      <c r="M12" s="9">
        <f>SUMIF(Info!B:B,B12,Info!D:D)</f>
        <v>9</v>
      </c>
      <c r="N12" s="9">
        <f>SUMIF(Info!B:B,B12,Info!E:E)</f>
        <v>0</v>
      </c>
      <c r="P12" s="9">
        <f>SUMIF(Info!B:B,B12,Info!L:L)</f>
        <v>2</v>
      </c>
      <c r="Q12" s="9">
        <f>SUMIF(Info!B:B,B12,Info!M:M)</f>
        <v>1</v>
      </c>
      <c r="R12" s="9">
        <f>SUMIF(Info!B:B,B12,Info!N:N)</f>
        <v>0</v>
      </c>
      <c r="S12" s="22">
        <f t="shared" si="1"/>
        <v>6</v>
      </c>
    </row>
    <row r="13" spans="1:32" x14ac:dyDescent="0.25">
      <c r="A13" s="27"/>
      <c r="B13" s="29">
        <v>210</v>
      </c>
      <c r="C13" s="28">
        <f>SUMIF(Info!B:B,B13,Info!C:C)</f>
        <v>0</v>
      </c>
      <c r="D13" s="28">
        <f>SUMIF(Info!B:B,B13,Info!D:D)</f>
        <v>11</v>
      </c>
      <c r="E13" s="28">
        <f>SUMIF(Info!B:B,B13,Info!F:F)</f>
        <v>36</v>
      </c>
      <c r="G13" s="28">
        <f>SUMIF(Info!B:B,B13,Info!I:I)</f>
        <v>28</v>
      </c>
      <c r="H13" s="28">
        <f>SUMIF(Info!B:B,B13,Info!J:J)</f>
        <v>36</v>
      </c>
      <c r="I13" s="28">
        <f>SUMIF(Info!B:B,B13,Info!K:K)</f>
        <v>0</v>
      </c>
      <c r="J13" s="30">
        <f t="shared" si="0"/>
        <v>-17</v>
      </c>
      <c r="L13" s="28">
        <f>SUMIF(Info!B:B,B13,Info!C:C)</f>
        <v>0</v>
      </c>
      <c r="M13" s="28">
        <f>SUMIF(Info!B:B,B13,Info!D:D)</f>
        <v>11</v>
      </c>
      <c r="N13" s="28">
        <f>SUMIF(Info!B:B,B13,Info!E:E)</f>
        <v>2</v>
      </c>
      <c r="P13" s="28">
        <f>SUMIF(Info!B:B,B13,Info!L:L)</f>
        <v>1</v>
      </c>
      <c r="Q13" s="28">
        <f>SUMIF(Info!B:B,B13,Info!M:M)</f>
        <v>2</v>
      </c>
      <c r="R13" s="28">
        <f>SUMIF(Info!B:B,B13,Info!N:N)</f>
        <v>0</v>
      </c>
      <c r="S13" s="30">
        <f t="shared" si="1"/>
        <v>8</v>
      </c>
    </row>
    <row r="14" spans="1:32" x14ac:dyDescent="0.25">
      <c r="A14" s="21"/>
      <c r="B14" s="7">
        <v>211</v>
      </c>
      <c r="C14" s="9">
        <f>SUMIF(Info!B:B,B14,Info!C:C)</f>
        <v>0</v>
      </c>
      <c r="D14" s="9">
        <f>SUMIF(Info!B:B,B14,Info!D:D)</f>
        <v>8</v>
      </c>
      <c r="E14" s="9">
        <f>SUMIF(Info!B:B,B14,Info!F:F)</f>
        <v>0</v>
      </c>
      <c r="G14" s="9">
        <f>SUMIF(Info!B:B,B14,Info!I:I)</f>
        <v>75</v>
      </c>
      <c r="H14" s="9">
        <f>SUMIF(Info!B:B,B14,Info!J:J)</f>
        <v>39</v>
      </c>
      <c r="I14" s="9">
        <f>SUMIF(Info!B:B,B14,Info!K:K)</f>
        <v>0</v>
      </c>
      <c r="J14" s="22">
        <f t="shared" si="0"/>
        <v>-106</v>
      </c>
      <c r="L14" s="9">
        <f>SUMIF(Info!B:B,B14,Info!C:C)</f>
        <v>0</v>
      </c>
      <c r="M14" s="9">
        <f>SUMIF(Info!B:B,B14,Info!D:D)</f>
        <v>8</v>
      </c>
      <c r="N14" s="9">
        <f>SUMIF(Info!B:B,B14,Info!E:E)</f>
        <v>0</v>
      </c>
      <c r="P14" s="9">
        <f>SUMIF(Info!B:B,B14,Info!L:L)</f>
        <v>1</v>
      </c>
      <c r="Q14" s="9">
        <f>SUMIF(Info!B:B,B14,Info!M:M)</f>
        <v>1</v>
      </c>
      <c r="R14" s="9">
        <f>SUMIF(Info!B:B,B14,Info!N:N)</f>
        <v>0</v>
      </c>
      <c r="S14" s="22">
        <f t="shared" si="1"/>
        <v>6</v>
      </c>
    </row>
    <row r="15" spans="1:32" x14ac:dyDescent="0.25">
      <c r="A15" s="27"/>
      <c r="B15" s="29">
        <v>212</v>
      </c>
      <c r="C15" s="28">
        <f>SUMIF(Info!B:B,B15,Info!C:C)</f>
        <v>0</v>
      </c>
      <c r="D15" s="28">
        <f>SUMIF(Info!B:B,B15,Info!D:D)</f>
        <v>10</v>
      </c>
      <c r="E15" s="28">
        <f>SUMIF(Info!B:B,B15,Info!F:F)</f>
        <v>61</v>
      </c>
      <c r="G15" s="28">
        <f>SUMIF(Info!B:B,B15,Info!I:I)</f>
        <v>135</v>
      </c>
      <c r="H15" s="28">
        <f>SUMIF(Info!B:B,B15,Info!J:J)</f>
        <v>0</v>
      </c>
      <c r="I15" s="28">
        <f>SUMIF(Info!B:B,B15,Info!K:K)</f>
        <v>57</v>
      </c>
      <c r="J15" s="30">
        <f t="shared" si="0"/>
        <v>-121</v>
      </c>
      <c r="L15" s="28">
        <f>SUMIF(Info!B:B,B15,Info!C:C)</f>
        <v>0</v>
      </c>
      <c r="M15" s="28">
        <f>SUMIF(Info!B:B,B15,Info!D:D)</f>
        <v>10</v>
      </c>
      <c r="N15" s="28">
        <f>SUMIF(Info!B:B,B15,Info!E:E)</f>
        <v>1</v>
      </c>
      <c r="P15" s="28">
        <f>SUMIF(Info!B:B,B15,Info!L:L)</f>
        <v>2</v>
      </c>
      <c r="Q15" s="28">
        <f>SUMIF(Info!B:B,B15,Info!M:M)</f>
        <v>0</v>
      </c>
      <c r="R15" s="28">
        <f>SUMIF(Info!B:B,B15,Info!N:N)</f>
        <v>1</v>
      </c>
      <c r="S15" s="30">
        <f t="shared" si="1"/>
        <v>7</v>
      </c>
    </row>
    <row r="16" spans="1:32" x14ac:dyDescent="0.25">
      <c r="A16" s="21"/>
      <c r="B16" s="7">
        <v>213</v>
      </c>
      <c r="C16" s="9">
        <f>SUMIF(Info!B:B,B16,Info!C:C)</f>
        <v>0</v>
      </c>
      <c r="D16" s="9">
        <f>SUMIF(Info!B:B,B16,Info!D:D)</f>
        <v>0</v>
      </c>
      <c r="E16" s="9">
        <f>SUMIF(Info!B:B,B16,Info!F:F)</f>
        <v>0</v>
      </c>
      <c r="G16" s="9">
        <f>SUMIF(Info!B:B,B16,Info!I:I)</f>
        <v>0</v>
      </c>
      <c r="H16" s="9">
        <f>SUMIF(Info!B:B,B16,Info!J:J)</f>
        <v>0</v>
      </c>
      <c r="I16" s="9">
        <f>SUMIF(Info!B:B,B16,Info!K:K)</f>
        <v>0</v>
      </c>
      <c r="J16" s="22">
        <f t="shared" si="0"/>
        <v>0</v>
      </c>
      <c r="L16" s="9">
        <f>SUMIF(Info!B:B,B16,Info!C:C)</f>
        <v>0</v>
      </c>
      <c r="M16" s="9">
        <f>SUMIF(Info!B:B,B16,Info!D:D)</f>
        <v>0</v>
      </c>
      <c r="N16" s="9">
        <f>SUMIF(Info!B:B,B16,Info!E:E)</f>
        <v>0</v>
      </c>
      <c r="P16" s="9">
        <f>SUMIF(Info!B:B,B16,Info!L:L)</f>
        <v>0</v>
      </c>
      <c r="Q16" s="9">
        <f>SUMIF(Info!B:B,B16,Info!M:M)</f>
        <v>0</v>
      </c>
      <c r="R16" s="9">
        <f>SUMIF(Info!B:B,B16,Info!N:N)</f>
        <v>0</v>
      </c>
      <c r="S16" s="22">
        <f t="shared" si="1"/>
        <v>0</v>
      </c>
    </row>
    <row r="17" spans="1:19" x14ac:dyDescent="0.25">
      <c r="A17" s="27"/>
      <c r="B17" s="29">
        <v>214</v>
      </c>
      <c r="C17" s="28">
        <f>SUMIF(Info!B:B,B17,Info!C:C)</f>
        <v>0</v>
      </c>
      <c r="D17" s="28">
        <f>SUMIF(Info!B:B,B17,Info!D:D)</f>
        <v>0</v>
      </c>
      <c r="E17" s="28">
        <f>SUMIF(Info!B:B,B17,Info!F:F)</f>
        <v>0</v>
      </c>
      <c r="G17" s="28">
        <f>SUMIF(Info!B:B,B17,Info!I:I)</f>
        <v>0</v>
      </c>
      <c r="H17" s="28">
        <f>SUMIF(Info!B:B,B17,Info!J:J)</f>
        <v>0</v>
      </c>
      <c r="I17" s="28">
        <f>SUMIF(Info!B:B,B17,Info!K:K)</f>
        <v>0</v>
      </c>
      <c r="J17" s="30">
        <f t="shared" si="0"/>
        <v>0</v>
      </c>
      <c r="L17" s="28">
        <f>SUMIF(Info!B:B,B17,Info!C:C)</f>
        <v>0</v>
      </c>
      <c r="M17" s="28">
        <f>SUMIF(Info!B:B,B17,Info!D:D)</f>
        <v>0</v>
      </c>
      <c r="N17" s="28">
        <f>SUMIF(Info!B:B,B17,Info!E:E)</f>
        <v>0</v>
      </c>
      <c r="P17" s="28">
        <f>SUMIF(Info!B:B,B17,Info!L:L)</f>
        <v>0</v>
      </c>
      <c r="Q17" s="28">
        <f>SUMIF(Info!B:B,B17,Info!M:M)</f>
        <v>0</v>
      </c>
      <c r="R17" s="28">
        <f>SUMIF(Info!B:B,B17,Info!N:N)</f>
        <v>0</v>
      </c>
      <c r="S17" s="30">
        <f t="shared" si="1"/>
        <v>0</v>
      </c>
    </row>
    <row r="18" spans="1:19" x14ac:dyDescent="0.25">
      <c r="A18" s="21"/>
      <c r="B18" s="7">
        <v>215</v>
      </c>
      <c r="C18" s="9">
        <f>SUMIF(Info!B:B,B18,Info!C:C)</f>
        <v>0</v>
      </c>
      <c r="D18" s="9">
        <f>SUMIF(Info!B:B,B18,Info!D:D)</f>
        <v>0</v>
      </c>
      <c r="E18" s="9">
        <f>SUMIF(Info!B:B,B18,Info!F:F)</f>
        <v>0</v>
      </c>
      <c r="G18" s="9">
        <f>SUMIF(Info!B:B,B18,Info!I:I)</f>
        <v>0</v>
      </c>
      <c r="H18" s="9">
        <f>SUMIF(Info!B:B,B18,Info!J:J)</f>
        <v>0</v>
      </c>
      <c r="I18" s="9">
        <f>SUMIF(Info!B:B,B18,Info!K:K)</f>
        <v>0</v>
      </c>
      <c r="J18" s="22">
        <f t="shared" si="0"/>
        <v>0</v>
      </c>
      <c r="K18" s="24"/>
      <c r="L18" s="9">
        <f>SUMIF(Info!B:B,B18,Info!C:C)</f>
        <v>0</v>
      </c>
      <c r="M18" s="9">
        <f>SUMIF(Info!B:B,B18,Info!D:D)</f>
        <v>0</v>
      </c>
      <c r="N18" s="9">
        <f>SUMIF(Info!B:B,B18,Info!E:E)</f>
        <v>0</v>
      </c>
      <c r="P18" s="9">
        <f>SUMIF(Info!B:B,B18,Info!L:L)</f>
        <v>0</v>
      </c>
      <c r="Q18" s="9">
        <f>SUMIF(Info!B:B,B18,Info!M:M)</f>
        <v>0</v>
      </c>
      <c r="R18" s="9">
        <f>SUMIF(Info!B:B,B18,Info!N:N)</f>
        <v>0</v>
      </c>
      <c r="S18" s="22">
        <f t="shared" si="1"/>
        <v>0</v>
      </c>
    </row>
    <row r="19" spans="1:19" x14ac:dyDescent="0.25">
      <c r="A19" s="27"/>
      <c r="B19" s="29">
        <v>216</v>
      </c>
      <c r="C19" s="28">
        <f>SUMIF(Info!B:B,B19,Info!C:C)</f>
        <v>0</v>
      </c>
      <c r="D19" s="28">
        <f>SUMIF(Info!B:B,B19,Info!D:D)</f>
        <v>0</v>
      </c>
      <c r="E19" s="28">
        <f>SUMIF(Info!B:B,B19,Info!F:F)</f>
        <v>0</v>
      </c>
      <c r="G19" s="28">
        <f>SUMIF(Info!B:B,B19,Info!I:I)</f>
        <v>0</v>
      </c>
      <c r="H19" s="28">
        <f>SUMIF(Info!B:B,B19,Info!J:J)</f>
        <v>0</v>
      </c>
      <c r="I19" s="28">
        <f>SUMIF(Info!B:B,B19,Info!K:K)</f>
        <v>0</v>
      </c>
      <c r="J19" s="30">
        <f t="shared" si="0"/>
        <v>0</v>
      </c>
      <c r="L19" s="28">
        <f>SUMIF(Info!B:B,B19,Info!C:C)</f>
        <v>0</v>
      </c>
      <c r="M19" s="28">
        <f>SUMIF(Info!B:B,B19,Info!D:D)</f>
        <v>0</v>
      </c>
      <c r="N19" s="28">
        <f>SUMIF(Info!B:B,B19,Info!E:E)</f>
        <v>0</v>
      </c>
      <c r="P19" s="28">
        <f>SUMIF(Info!B:B,B19,Info!L:L)</f>
        <v>0</v>
      </c>
      <c r="Q19" s="28">
        <f>SUMIF(Info!B:B,B19,Info!M:M)</f>
        <v>0</v>
      </c>
      <c r="R19" s="28">
        <f>SUMIF(Info!B:B,B19,Info!N:N)</f>
        <v>0</v>
      </c>
      <c r="S19" s="30">
        <f t="shared" si="1"/>
        <v>0</v>
      </c>
    </row>
    <row r="20" spans="1:19" x14ac:dyDescent="0.25">
      <c r="A20" s="21"/>
      <c r="B20" s="7">
        <v>217</v>
      </c>
      <c r="C20" s="9">
        <f>SUMIF(Info!B:B,B20,Info!C:C)</f>
        <v>0</v>
      </c>
      <c r="D20" s="9">
        <f>SUMIF(Info!B:B,B20,Info!D:D)</f>
        <v>0</v>
      </c>
      <c r="E20" s="9">
        <f>SUMIF(Info!B:B,B20,Info!F:F)</f>
        <v>0</v>
      </c>
      <c r="G20" s="9">
        <f>SUMIF(Info!B:B,B20,Info!I:I)</f>
        <v>0</v>
      </c>
      <c r="H20" s="9">
        <f>SUMIF(Info!B:B,B20,Info!J:J)</f>
        <v>0</v>
      </c>
      <c r="I20" s="9">
        <f>SUMIF(Info!B:B,B20,Info!K:K)</f>
        <v>0</v>
      </c>
      <c r="J20" s="22">
        <f t="shared" si="0"/>
        <v>0</v>
      </c>
      <c r="K20" s="23"/>
      <c r="L20" s="9">
        <f>SUMIF(Info!B:B,B20,Info!C:C)</f>
        <v>0</v>
      </c>
      <c r="M20" s="9">
        <f>SUMIF(Info!B:B,B20,Info!D:D)</f>
        <v>0</v>
      </c>
      <c r="N20" s="9">
        <f>SUMIF(Info!B:B,B20,Info!E:E)</f>
        <v>0</v>
      </c>
      <c r="P20" s="9">
        <f>SUMIF(Info!B:B,B20,Info!L:L)</f>
        <v>0</v>
      </c>
      <c r="Q20" s="9">
        <f>SUMIF(Info!B:B,B20,Info!M:M)</f>
        <v>0</v>
      </c>
      <c r="R20" s="9">
        <f>SUMIF(Info!B:B,B20,Info!N:N)</f>
        <v>0</v>
      </c>
      <c r="S20" s="22">
        <f t="shared" si="1"/>
        <v>0</v>
      </c>
    </row>
    <row r="21" spans="1:19" x14ac:dyDescent="0.25">
      <c r="A21" s="27"/>
      <c r="B21" s="29">
        <v>218</v>
      </c>
      <c r="C21" s="28">
        <f>SUMIF(Info!B:B,B21,Info!C:C)</f>
        <v>0</v>
      </c>
      <c r="D21" s="28">
        <f>SUMIF(Info!B:B,B21,Info!D:D)</f>
        <v>0</v>
      </c>
      <c r="E21" s="28">
        <f>SUMIF(Info!B:B,B21,Info!F:F)</f>
        <v>0</v>
      </c>
      <c r="G21" s="28">
        <f>SUMIF(Info!B:B,B21,Info!I:I)</f>
        <v>0</v>
      </c>
      <c r="H21" s="28">
        <f>SUMIF(Info!B:B,B21,Info!J:J)</f>
        <v>0</v>
      </c>
      <c r="I21" s="28">
        <f>SUMIF(Info!B:B,B21,Info!K:K)</f>
        <v>0</v>
      </c>
      <c r="J21" s="30">
        <f t="shared" si="0"/>
        <v>0</v>
      </c>
      <c r="K21" s="23"/>
      <c r="L21" s="28">
        <f>SUMIF(Info!B:B,B21,Info!C:C)</f>
        <v>0</v>
      </c>
      <c r="M21" s="28">
        <f>SUMIF(Info!B:B,B21,Info!D:D)</f>
        <v>0</v>
      </c>
      <c r="N21" s="28">
        <f>SUMIF(Info!B:B,B21,Info!E:E)</f>
        <v>0</v>
      </c>
      <c r="P21" s="28">
        <f>SUMIF(Info!B:B,B21,Info!L:L)</f>
        <v>0</v>
      </c>
      <c r="Q21" s="28">
        <f>SUMIF(Info!B:B,B21,Info!M:M)</f>
        <v>0</v>
      </c>
      <c r="R21" s="28">
        <f>SUMIF(Info!B:B,B21,Info!N:N)</f>
        <v>0</v>
      </c>
      <c r="S21" s="30">
        <f t="shared" si="1"/>
        <v>0</v>
      </c>
    </row>
    <row r="22" spans="1:19" x14ac:dyDescent="0.25">
      <c r="A22" s="27"/>
      <c r="B22" s="29">
        <v>220</v>
      </c>
      <c r="C22" s="28">
        <f>SUMIF(Info!B:B,B22,Info!C:C)</f>
        <v>0</v>
      </c>
      <c r="D22" s="28">
        <f>SUMIF(Info!B:B,B22,Info!D:D)</f>
        <v>0</v>
      </c>
      <c r="E22" s="28">
        <f>SUMIF(Info!B:B,B22,Info!F:F)</f>
        <v>0</v>
      </c>
      <c r="G22" s="28">
        <f>SUMIF(Info!B:B,B22,Info!I:I)</f>
        <v>0</v>
      </c>
      <c r="H22" s="28">
        <f>SUMIF(Info!B:B,B22,Info!J:J)</f>
        <v>0</v>
      </c>
      <c r="I22" s="28">
        <f>SUMIF(Info!B:B,B22,Info!K:K)</f>
        <v>0</v>
      </c>
      <c r="J22" s="30">
        <f t="shared" si="0"/>
        <v>0</v>
      </c>
      <c r="K22" s="23"/>
      <c r="L22" s="28">
        <f>SUMIF(Info!B:B,B22,Info!C:C)</f>
        <v>0</v>
      </c>
      <c r="M22" s="28">
        <f>SUMIF(Info!B:B,B22,Info!D:D)</f>
        <v>0</v>
      </c>
      <c r="N22" s="28">
        <f>SUMIF(Info!B:B,B22,Info!E:E)</f>
        <v>0</v>
      </c>
      <c r="P22" s="28">
        <f>SUMIF(Info!B:B,B22,Info!L:L)</f>
        <v>0</v>
      </c>
      <c r="Q22" s="28">
        <f>SUMIF(Info!B:B,B22,Info!M:M)</f>
        <v>0</v>
      </c>
      <c r="R22" s="28">
        <f>SUMIF(Info!B:B,B22,Info!N:N)</f>
        <v>0</v>
      </c>
      <c r="S22" s="30">
        <f t="shared" si="1"/>
        <v>0</v>
      </c>
    </row>
    <row r="23" spans="1:19" x14ac:dyDescent="0.25">
      <c r="A23" s="21"/>
      <c r="B23" s="7">
        <v>221</v>
      </c>
      <c r="C23" s="9">
        <f>SUMIF(Info!B:B,B23,Info!C:C)</f>
        <v>0</v>
      </c>
      <c r="D23" s="9">
        <f>SUMIF(Info!B:B,B23,Info!D:D)</f>
        <v>0</v>
      </c>
      <c r="E23" s="9">
        <f>SUMIF(Info!B:B,B23,Info!F:F)</f>
        <v>0</v>
      </c>
      <c r="G23" s="9">
        <f>SUMIF(Info!B:B,B23,Info!I:I)</f>
        <v>0</v>
      </c>
      <c r="H23" s="9">
        <f>SUMIF(Info!B:B,B23,Info!J:J)</f>
        <v>0</v>
      </c>
      <c r="I23" s="9">
        <f>SUMIF(Info!B:B,B23,Info!K:K)</f>
        <v>0</v>
      </c>
      <c r="J23" s="22">
        <f t="shared" si="0"/>
        <v>0</v>
      </c>
      <c r="K23" s="23"/>
      <c r="L23" s="9">
        <f>SUMIF(Info!B:B,B23,Info!C:C)</f>
        <v>0</v>
      </c>
      <c r="M23" s="9">
        <f>SUMIF(Info!B:B,B23,Info!D:D)</f>
        <v>0</v>
      </c>
      <c r="N23" s="9">
        <f>SUMIF(Info!B:B,B23,Info!E:E)</f>
        <v>0</v>
      </c>
      <c r="P23" s="9">
        <f>SUMIF(Info!B:B,B23,Info!L:L)</f>
        <v>0</v>
      </c>
      <c r="Q23" s="9">
        <f>SUMIF(Info!B:B,B23,Info!M:M)</f>
        <v>0</v>
      </c>
      <c r="R23" s="9">
        <f>SUMIF(Info!B:B,B23,Info!N:N)</f>
        <v>0</v>
      </c>
      <c r="S23" s="22">
        <f t="shared" si="1"/>
        <v>0</v>
      </c>
    </row>
    <row r="24" spans="1:19" x14ac:dyDescent="0.25">
      <c r="A24" s="27"/>
      <c r="B24" s="29">
        <v>222</v>
      </c>
      <c r="C24" s="28">
        <f>SUMIF(Info!B:B,B24,Info!C:C)</f>
        <v>0</v>
      </c>
      <c r="D24" s="28">
        <f>SUMIF(Info!B:B,B24,Info!D:D)</f>
        <v>0</v>
      </c>
      <c r="E24" s="28">
        <f>SUMIF(Info!B:B,B24,Info!F:F)</f>
        <v>0</v>
      </c>
      <c r="G24" s="28">
        <f>SUMIF(Info!B:B,B24,Info!I:I)</f>
        <v>0</v>
      </c>
      <c r="H24" s="28">
        <f>SUMIF(Info!B:B,B24,Info!J:J)</f>
        <v>0</v>
      </c>
      <c r="I24" s="28">
        <f>SUMIF(Info!B:B,B24,Info!K:K)</f>
        <v>0</v>
      </c>
      <c r="J24" s="30">
        <f t="shared" si="0"/>
        <v>0</v>
      </c>
      <c r="K24" s="23"/>
      <c r="L24" s="28">
        <f>SUMIF(Info!B:B,B24,Info!C:C)</f>
        <v>0</v>
      </c>
      <c r="M24" s="28">
        <f>SUMIF(Info!B:B,B24,Info!D:D)</f>
        <v>0</v>
      </c>
      <c r="N24" s="28">
        <f>SUMIF(Info!B:B,B24,Info!E:E)</f>
        <v>0</v>
      </c>
      <c r="P24" s="28">
        <f>SUMIF(Info!B:B,B24,Info!L:L)</f>
        <v>0</v>
      </c>
      <c r="Q24" s="28">
        <f>SUMIF(Info!B:B,B24,Info!M:M)</f>
        <v>0</v>
      </c>
      <c r="R24" s="28">
        <f>SUMIF(Info!B:B,B24,Info!N:N)</f>
        <v>0</v>
      </c>
      <c r="S24" s="30">
        <f t="shared" si="1"/>
        <v>0</v>
      </c>
    </row>
    <row r="25" spans="1:19" x14ac:dyDescent="0.25">
      <c r="A25" s="21"/>
      <c r="B25" s="7">
        <v>223</v>
      </c>
      <c r="C25" s="9">
        <f>SUMIF(Info!B:B,B25,Info!C:C)</f>
        <v>0</v>
      </c>
      <c r="D25" s="9">
        <f>SUMIF(Info!B:B,B25,Info!D:D)</f>
        <v>0</v>
      </c>
      <c r="E25" s="9">
        <f>SUMIF(Info!B:B,B25,Info!F:F)</f>
        <v>0</v>
      </c>
      <c r="F25" s="24"/>
      <c r="G25" s="9">
        <f>SUMIF(Info!B:B,B25,Info!I:I)</f>
        <v>0</v>
      </c>
      <c r="H25" s="9">
        <f>SUMIF(Info!B:B,B25,Info!J:J)</f>
        <v>0</v>
      </c>
      <c r="I25" s="9">
        <f>SUMIF(Info!B:B,B25,Info!K:K)</f>
        <v>0</v>
      </c>
      <c r="J25" s="22">
        <f t="shared" si="0"/>
        <v>0</v>
      </c>
      <c r="K25" s="23"/>
      <c r="L25" s="9">
        <f>SUMIF(Info!B:B,B25,Info!C:C)</f>
        <v>0</v>
      </c>
      <c r="M25" s="9">
        <f>SUMIF(Info!B:B,B25,Info!D:D)</f>
        <v>0</v>
      </c>
      <c r="N25" s="9">
        <f>SUMIF(Info!B:B,B25,Info!E:E)</f>
        <v>0</v>
      </c>
      <c r="O25" s="24"/>
      <c r="P25" s="9">
        <f>SUMIF(Info!B:B,B25,Info!L:L)</f>
        <v>0</v>
      </c>
      <c r="Q25" s="9">
        <f>SUMIF(Info!B:B,B25,Info!M:M)</f>
        <v>0</v>
      </c>
      <c r="R25" s="9">
        <f>SUMIF(Info!B:B,B25,Info!N:N)</f>
        <v>0</v>
      </c>
      <c r="S25" s="22">
        <f t="shared" si="1"/>
        <v>0</v>
      </c>
    </row>
    <row r="26" spans="1:19" x14ac:dyDescent="0.25">
      <c r="A26" s="27"/>
      <c r="B26" s="29">
        <v>224</v>
      </c>
      <c r="C26" s="28">
        <f>SUMIF(Info!B:B,B26,Info!C:C)</f>
        <v>0</v>
      </c>
      <c r="D26" s="28">
        <f>SUMIF(Info!B:B,B26,Info!D:D)</f>
        <v>0</v>
      </c>
      <c r="E26" s="28">
        <f>SUMIF(Info!B:B,B26,Info!F:F)</f>
        <v>0</v>
      </c>
      <c r="G26" s="28">
        <f>SUMIF(Info!B:B,B26,Info!I:I)</f>
        <v>0</v>
      </c>
      <c r="H26" s="28">
        <f>SUMIF(Info!B:B,B26,Info!J:J)</f>
        <v>0</v>
      </c>
      <c r="I26" s="28">
        <f>SUMIF(Info!B:B,B26,Info!K:K)</f>
        <v>0</v>
      </c>
      <c r="J26" s="30">
        <f t="shared" si="0"/>
        <v>0</v>
      </c>
      <c r="K26" s="23"/>
      <c r="L26" s="28">
        <f>SUMIF(Info!B:B,B26,Info!C:C)</f>
        <v>0</v>
      </c>
      <c r="M26" s="28">
        <f>SUMIF(Info!B:B,B26,Info!D:D)</f>
        <v>0</v>
      </c>
      <c r="N26" s="28">
        <f>SUMIF(Info!B:B,B26,Info!E:E)</f>
        <v>0</v>
      </c>
      <c r="P26" s="28">
        <f>SUMIF(Info!B:B,B26,Info!L:L)</f>
        <v>0</v>
      </c>
      <c r="Q26" s="28">
        <f>SUMIF(Info!B:B,B26,Info!M:M)</f>
        <v>0</v>
      </c>
      <c r="R26" s="28">
        <f>SUMIF(Info!B:B,B26,Info!N:N)</f>
        <v>0</v>
      </c>
      <c r="S26" s="30">
        <f t="shared" si="1"/>
        <v>0</v>
      </c>
    </row>
    <row r="27" spans="1:19" x14ac:dyDescent="0.25">
      <c r="A27" s="21"/>
      <c r="B27" s="7">
        <v>225</v>
      </c>
      <c r="C27" s="9">
        <f>SUMIF(Info!B:B,B27,Info!C:C)</f>
        <v>0</v>
      </c>
      <c r="D27" s="9">
        <f>SUMIF(Info!B:B,B27,Info!D:D)</f>
        <v>0</v>
      </c>
      <c r="E27" s="9">
        <f>SUMIF(Info!B:B,B27,Info!F:F)</f>
        <v>0</v>
      </c>
      <c r="G27" s="9">
        <f>SUMIF(Info!B:B,B27,Info!I:I)</f>
        <v>0</v>
      </c>
      <c r="H27" s="9">
        <f>SUMIF(Info!B:B,B27,Info!J:J)</f>
        <v>0</v>
      </c>
      <c r="I27" s="9">
        <f>SUMIF(Info!B:B,B27,Info!K:K)</f>
        <v>0</v>
      </c>
      <c r="J27" s="22">
        <f t="shared" si="0"/>
        <v>0</v>
      </c>
      <c r="K27" s="23"/>
      <c r="L27" s="9">
        <f>SUMIF(Info!B:B,B27,Info!C:C)</f>
        <v>0</v>
      </c>
      <c r="M27" s="9">
        <f>SUMIF(Info!B:B,B27,Info!D:D)</f>
        <v>0</v>
      </c>
      <c r="N27" s="9">
        <f>SUMIF(Info!B:B,B27,Info!E:E)</f>
        <v>0</v>
      </c>
      <c r="P27" s="9">
        <f>SUMIF(Info!B:B,B27,Info!L:L)</f>
        <v>0</v>
      </c>
      <c r="Q27" s="9">
        <f>SUMIF(Info!B:B,B27,Info!M:M)</f>
        <v>0</v>
      </c>
      <c r="R27" s="9">
        <f>SUMIF(Info!B:B,B27,Info!N:N)</f>
        <v>0</v>
      </c>
      <c r="S27" s="22">
        <f t="shared" si="1"/>
        <v>0</v>
      </c>
    </row>
    <row r="28" spans="1:19" x14ac:dyDescent="0.25">
      <c r="A28" s="27"/>
      <c r="B28" s="29">
        <v>226</v>
      </c>
      <c r="C28" s="28">
        <f>SUMIF(Info!B:B,B28,Info!C:C)</f>
        <v>0</v>
      </c>
      <c r="D28" s="28">
        <f>SUMIF(Info!B:B,B28,Info!D:D)</f>
        <v>0</v>
      </c>
      <c r="E28" s="28">
        <f>SUMIF(Info!B:B,B28,Info!F:F)</f>
        <v>0</v>
      </c>
      <c r="G28" s="28">
        <f>SUMIF(Info!B:B,B28,Info!I:I)</f>
        <v>0</v>
      </c>
      <c r="H28" s="28">
        <f>SUMIF(Info!B:B,B28,Info!J:J)</f>
        <v>0</v>
      </c>
      <c r="I28" s="28">
        <f>SUMIF(Info!B:B,B28,Info!K:K)</f>
        <v>0</v>
      </c>
      <c r="J28" s="30">
        <f t="shared" si="0"/>
        <v>0</v>
      </c>
      <c r="K28" s="23"/>
      <c r="L28" s="28">
        <f>SUMIF(Info!B:B,B28,Info!C:C)</f>
        <v>0</v>
      </c>
      <c r="M28" s="28">
        <f>SUMIF(Info!B:B,B28,Info!D:D)</f>
        <v>0</v>
      </c>
      <c r="N28" s="28">
        <f>SUMIF(Info!B:B,B28,Info!E:E)</f>
        <v>0</v>
      </c>
      <c r="P28" s="28">
        <f>SUMIF(Info!B:B,B28,Info!L:L)</f>
        <v>0</v>
      </c>
      <c r="Q28" s="28">
        <f>SUMIF(Info!B:B,B28,Info!M:M)</f>
        <v>0</v>
      </c>
      <c r="R28" s="28">
        <f>SUMIF(Info!B:B,B28,Info!N:N)</f>
        <v>0</v>
      </c>
      <c r="S28" s="30">
        <f t="shared" si="1"/>
        <v>0</v>
      </c>
    </row>
    <row r="29" spans="1:19" x14ac:dyDescent="0.25">
      <c r="A29" s="21"/>
      <c r="B29" s="7">
        <v>227</v>
      </c>
      <c r="C29" s="9">
        <f>SUMIF(Info!B:B,B29,Info!C:C)</f>
        <v>0</v>
      </c>
      <c r="D29" s="9">
        <f>SUMIF(Info!B:B,B29,Info!D:D)</f>
        <v>0</v>
      </c>
      <c r="E29" s="9">
        <f>SUMIF(Info!B:B,B29,Info!F:F)</f>
        <v>0</v>
      </c>
      <c r="G29" s="9">
        <f>SUMIF(Info!B:B,B29,Info!I:I)</f>
        <v>0</v>
      </c>
      <c r="H29" s="9">
        <f>SUMIF(Info!B:B,B29,Info!J:J)</f>
        <v>0</v>
      </c>
      <c r="I29" s="9">
        <f>SUMIF(Info!B:B,B29,Info!K:K)</f>
        <v>0</v>
      </c>
      <c r="J29" s="22">
        <f t="shared" si="0"/>
        <v>0</v>
      </c>
      <c r="K29" s="23"/>
      <c r="L29" s="9">
        <f>SUMIF(Info!B:B,B29,Info!C:C)</f>
        <v>0</v>
      </c>
      <c r="M29" s="9">
        <f>SUMIF(Info!B:B,B29,Info!D:D)</f>
        <v>0</v>
      </c>
      <c r="N29" s="9">
        <f>SUMIF(Info!B:B,B29,Info!E:E)</f>
        <v>0</v>
      </c>
      <c r="P29" s="9">
        <f>SUMIF(Info!B:B,B29,Info!L:L)</f>
        <v>0</v>
      </c>
      <c r="Q29" s="9">
        <f>SUMIF(Info!B:B,B29,Info!M:M)</f>
        <v>0</v>
      </c>
      <c r="R29" s="9">
        <f>SUMIF(Info!B:B,B29,Info!N:N)</f>
        <v>0</v>
      </c>
      <c r="S29" s="22">
        <f t="shared" si="1"/>
        <v>0</v>
      </c>
    </row>
    <row r="30" spans="1:19" x14ac:dyDescent="0.25">
      <c r="A30" s="27"/>
      <c r="B30" s="29">
        <v>228</v>
      </c>
      <c r="C30" s="28">
        <f>SUMIF(Info!B:B,B30,Info!C:C)</f>
        <v>0</v>
      </c>
      <c r="D30" s="28">
        <f>SUMIF(Info!B:B,B30,Info!D:D)</f>
        <v>0</v>
      </c>
      <c r="E30" s="28">
        <f>SUMIF(Info!B:B,B30,Info!F:F)</f>
        <v>0</v>
      </c>
      <c r="G30" s="28">
        <f>SUMIF(Info!B:B,B30,Info!I:I)</f>
        <v>0</v>
      </c>
      <c r="H30" s="28">
        <f>SUMIF(Info!B:B,B30,Info!J:J)</f>
        <v>0</v>
      </c>
      <c r="I30" s="28">
        <f>SUMIF(Info!B:B,B30,Info!K:K)</f>
        <v>0</v>
      </c>
      <c r="J30" s="30">
        <f t="shared" si="0"/>
        <v>0</v>
      </c>
      <c r="K30" s="23"/>
      <c r="L30" s="28">
        <f>SUMIF(Info!B:B,B30,Info!C:C)</f>
        <v>0</v>
      </c>
      <c r="M30" s="28">
        <f>SUMIF(Info!B:B,B30,Info!D:D)</f>
        <v>0</v>
      </c>
      <c r="N30" s="28">
        <f>SUMIF(Info!B:B,B30,Info!E:E)</f>
        <v>0</v>
      </c>
      <c r="P30" s="28">
        <f>SUMIF(Info!B:B,B30,Info!L:L)</f>
        <v>0</v>
      </c>
      <c r="Q30" s="28">
        <f>SUMIF(Info!B:B,B30,Info!M:M)</f>
        <v>0</v>
      </c>
      <c r="R30" s="28">
        <f>SUMIF(Info!B:B,B30,Info!N:N)</f>
        <v>0</v>
      </c>
      <c r="S30" s="30">
        <f t="shared" si="1"/>
        <v>0</v>
      </c>
    </row>
    <row r="31" spans="1:19" x14ac:dyDescent="0.25">
      <c r="A31" s="21"/>
      <c r="B31" s="7">
        <v>229</v>
      </c>
      <c r="C31" s="9">
        <f>SUMIF(Info!B:B,B31,Info!C:C)</f>
        <v>0</v>
      </c>
      <c r="D31" s="9">
        <f>SUMIF(Info!B:B,B31,Info!D:D)</f>
        <v>0</v>
      </c>
      <c r="E31" s="9">
        <f>SUMIF(Info!B:B,B31,Info!F:F)</f>
        <v>0</v>
      </c>
      <c r="G31" s="9">
        <f>SUMIF(Info!B:B,B31,Info!I:I)</f>
        <v>0</v>
      </c>
      <c r="H31" s="9">
        <f>SUMIF(Info!B:B,B31,Info!J:J)</f>
        <v>0</v>
      </c>
      <c r="I31" s="9">
        <f>SUMIF(Info!B:B,B31,Info!K:K)</f>
        <v>0</v>
      </c>
      <c r="J31" s="22">
        <f t="shared" si="0"/>
        <v>0</v>
      </c>
      <c r="K31" s="23"/>
      <c r="L31" s="9">
        <f>SUMIF(Info!B:B,B31,Info!C:C)</f>
        <v>0</v>
      </c>
      <c r="M31" s="9">
        <f>SUMIF(Info!B:B,B31,Info!D:D)</f>
        <v>0</v>
      </c>
      <c r="N31" s="9">
        <f>SUMIF(Info!B:B,B31,Info!E:E)</f>
        <v>0</v>
      </c>
      <c r="P31" s="9">
        <f>SUMIF(Info!B:B,B31,Info!L:L)</f>
        <v>0</v>
      </c>
      <c r="Q31" s="9">
        <f>SUMIF(Info!B:B,B31,Info!M:M)</f>
        <v>0</v>
      </c>
      <c r="R31" s="9">
        <f>SUMIF(Info!B:B,B31,Info!N:N)</f>
        <v>0</v>
      </c>
      <c r="S31" s="22">
        <f t="shared" si="1"/>
        <v>0</v>
      </c>
    </row>
    <row r="32" spans="1:19" x14ac:dyDescent="0.25">
      <c r="A32" s="27"/>
      <c r="B32" s="29">
        <v>230</v>
      </c>
      <c r="C32" s="28">
        <f>SUMIF(Info!B:B,B32,Info!C:C)</f>
        <v>0</v>
      </c>
      <c r="D32" s="28">
        <f>SUMIF(Info!B:B,B32,Info!D:D)</f>
        <v>0</v>
      </c>
      <c r="E32" s="28">
        <f>SUMIF(Info!B:B,B32,Info!F:F)</f>
        <v>0</v>
      </c>
      <c r="G32" s="28">
        <f>SUMIF(Info!B:B,B32,Info!I:I)</f>
        <v>0</v>
      </c>
      <c r="H32" s="28">
        <f>SUMIF(Info!B:B,B32,Info!J:J)</f>
        <v>0</v>
      </c>
      <c r="I32" s="28">
        <f>SUMIF(Info!B:B,B32,Info!K:K)</f>
        <v>0</v>
      </c>
      <c r="J32" s="30">
        <f t="shared" si="0"/>
        <v>0</v>
      </c>
      <c r="K32" s="23"/>
      <c r="L32" s="28">
        <f>SUMIF(Info!B:B,B32,Info!C:C)</f>
        <v>0</v>
      </c>
      <c r="M32" s="28">
        <f>SUMIF(Info!B:B,B32,Info!D:D)</f>
        <v>0</v>
      </c>
      <c r="N32" s="28">
        <f>SUMIF(Info!B:B,B32,Info!E:E)</f>
        <v>0</v>
      </c>
      <c r="P32" s="28">
        <f>SUMIF(Info!B:B,B32,Info!L:L)</f>
        <v>0</v>
      </c>
      <c r="Q32" s="28">
        <f>SUMIF(Info!B:B,B32,Info!M:M)</f>
        <v>0</v>
      </c>
      <c r="R32" s="28">
        <f>SUMIF(Info!B:B,B32,Info!N:N)</f>
        <v>0</v>
      </c>
      <c r="S32" s="30">
        <f t="shared" si="1"/>
        <v>0</v>
      </c>
    </row>
    <row r="33" spans="1:19" x14ac:dyDescent="0.25">
      <c r="A33" s="21"/>
      <c r="B33" s="7">
        <v>231</v>
      </c>
      <c r="C33" s="9">
        <f>SUMIF(Info!B:B,B33,Info!C:C)</f>
        <v>0</v>
      </c>
      <c r="D33" s="9">
        <f>SUMIF(Info!B:B,B33,Info!D:D)</f>
        <v>0</v>
      </c>
      <c r="E33" s="9">
        <f>SUMIF(Info!B:B,B33,Info!F:F)</f>
        <v>0</v>
      </c>
      <c r="G33" s="9">
        <f>SUMIF(Info!B:B,B33,Info!I:I)</f>
        <v>0</v>
      </c>
      <c r="H33" s="9">
        <f>SUMIF(Info!B:B,B33,Info!J:J)</f>
        <v>0</v>
      </c>
      <c r="I33" s="9">
        <f>SUMIF(Info!B:B,B33,Info!K:K)</f>
        <v>0</v>
      </c>
      <c r="J33" s="22">
        <f t="shared" si="0"/>
        <v>0</v>
      </c>
      <c r="K33" s="23"/>
      <c r="L33" s="9">
        <f>SUMIF(Info!B:B,B33,Info!C:C)</f>
        <v>0</v>
      </c>
      <c r="M33" s="9">
        <f>SUMIF(Info!B:B,B33,Info!D:D)</f>
        <v>0</v>
      </c>
      <c r="N33" s="9">
        <f>SUMIF(Info!B:B,B33,Info!E:E)</f>
        <v>0</v>
      </c>
      <c r="P33" s="9">
        <f>SUMIF(Info!B:B,B33,Info!L:L)</f>
        <v>0</v>
      </c>
      <c r="Q33" s="9">
        <f>SUMIF(Info!B:B,B33,Info!M:M)</f>
        <v>0</v>
      </c>
      <c r="R33" s="9">
        <f>SUMIF(Info!B:B,B33,Info!N:N)</f>
        <v>0</v>
      </c>
      <c r="S33" s="22">
        <f t="shared" si="1"/>
        <v>0</v>
      </c>
    </row>
    <row r="34" spans="1:19" x14ac:dyDescent="0.25">
      <c r="A34" s="27"/>
      <c r="B34" s="29">
        <v>232</v>
      </c>
      <c r="C34" s="28">
        <f>SUMIF(Info!B:B,B34,Info!C:C)</f>
        <v>0</v>
      </c>
      <c r="D34" s="28">
        <f>SUMIF(Info!B:B,B34,Info!D:D)</f>
        <v>0</v>
      </c>
      <c r="E34" s="28">
        <f>SUMIF(Info!B:B,B34,Info!F:F)</f>
        <v>0</v>
      </c>
      <c r="G34" s="28">
        <f>SUMIF(Info!B:B,B34,Info!I:I)</f>
        <v>0</v>
      </c>
      <c r="H34" s="28">
        <f>SUMIF(Info!B:B,B34,Info!J:J)</f>
        <v>0</v>
      </c>
      <c r="I34" s="28">
        <f>SUMIF(Info!B:B,B34,Info!K:K)</f>
        <v>0</v>
      </c>
      <c r="J34" s="30">
        <f t="shared" si="0"/>
        <v>0</v>
      </c>
      <c r="K34" s="23"/>
      <c r="L34" s="28">
        <f>SUMIF(Info!B:B,B34,Info!C:C)</f>
        <v>0</v>
      </c>
      <c r="M34" s="28">
        <f>SUMIF(Info!B:B,B34,Info!D:D)</f>
        <v>0</v>
      </c>
      <c r="N34" s="28">
        <f>SUMIF(Info!B:B,B34,Info!E:E)</f>
        <v>0</v>
      </c>
      <c r="P34" s="28">
        <f>SUMIF(Info!B:B,B34,Info!L:L)</f>
        <v>0</v>
      </c>
      <c r="Q34" s="28">
        <f>SUMIF(Info!B:B,B34,Info!M:M)</f>
        <v>0</v>
      </c>
      <c r="R34" s="28">
        <f>SUMIF(Info!B:B,B34,Info!N:N)</f>
        <v>0</v>
      </c>
      <c r="S34" s="30">
        <f t="shared" si="1"/>
        <v>0</v>
      </c>
    </row>
    <row r="35" spans="1:19" x14ac:dyDescent="0.25">
      <c r="A35" s="21"/>
      <c r="B35" s="7">
        <v>233</v>
      </c>
      <c r="C35" s="9">
        <f>SUMIF(Info!B:B,B35,Info!C:C)</f>
        <v>0</v>
      </c>
      <c r="D35" s="9">
        <f>SUMIF(Info!B:B,B35,Info!D:D)</f>
        <v>0</v>
      </c>
      <c r="E35" s="9">
        <f>SUMIF(Info!B:B,B35,Info!F:F)</f>
        <v>0</v>
      </c>
      <c r="G35" s="9">
        <f>SUMIF(Info!B:B,B35,Info!I:I)</f>
        <v>0</v>
      </c>
      <c r="H35" s="9">
        <f>SUMIF(Info!B:B,B35,Info!J:J)</f>
        <v>0</v>
      </c>
      <c r="I35" s="9">
        <f>SUMIF(Info!B:B,B35,Info!K:K)</f>
        <v>0</v>
      </c>
      <c r="J35" s="22">
        <f t="shared" si="0"/>
        <v>0</v>
      </c>
      <c r="K35" s="23"/>
      <c r="L35" s="9">
        <f>SUMIF(Info!B:B,B35,Info!C:C)</f>
        <v>0</v>
      </c>
      <c r="M35" s="9">
        <f>SUMIF(Info!B:B,B35,Info!D:D)</f>
        <v>0</v>
      </c>
      <c r="N35" s="9">
        <f>SUMIF(Info!B:B,B35,Info!E:E)</f>
        <v>0</v>
      </c>
      <c r="P35" s="9">
        <f>SUMIF(Info!B:B,B35,Info!L:L)</f>
        <v>0</v>
      </c>
      <c r="Q35" s="9">
        <f>SUMIF(Info!B:B,B35,Info!M:M)</f>
        <v>0</v>
      </c>
      <c r="R35" s="9">
        <f>SUMIF(Info!B:B,B35,Info!N:N)</f>
        <v>0</v>
      </c>
      <c r="S35" s="22">
        <f t="shared" si="1"/>
        <v>0</v>
      </c>
    </row>
    <row r="36" spans="1:19" x14ac:dyDescent="0.25">
      <c r="A36" s="27"/>
      <c r="B36" s="29">
        <v>234</v>
      </c>
      <c r="C36" s="28">
        <f>SUMIF(Info!B:B,B36,Info!C:C)</f>
        <v>0</v>
      </c>
      <c r="D36" s="28">
        <f>SUMIF(Info!B:B,B36,Info!D:D)</f>
        <v>0</v>
      </c>
      <c r="E36" s="28">
        <f>SUMIF(Info!B:B,B36,Info!F:F)</f>
        <v>0</v>
      </c>
      <c r="G36" s="28">
        <f>SUMIF(Info!B:B,B36,Info!I:I)</f>
        <v>0</v>
      </c>
      <c r="H36" s="28">
        <f>SUMIF(Info!B:B,B36,Info!J:J)</f>
        <v>0</v>
      </c>
      <c r="I36" s="28">
        <f>SUMIF(Info!B:B,B36,Info!K:K)</f>
        <v>0</v>
      </c>
      <c r="J36" s="30">
        <f t="shared" si="0"/>
        <v>0</v>
      </c>
      <c r="K36" s="23"/>
      <c r="L36" s="28">
        <f>SUMIF(Info!B:B,B36,Info!C:C)</f>
        <v>0</v>
      </c>
      <c r="M36" s="28">
        <f>SUMIF(Info!B:B,B36,Info!D:D)</f>
        <v>0</v>
      </c>
      <c r="N36" s="28">
        <f>SUMIF(Info!B:B,B36,Info!E:E)</f>
        <v>0</v>
      </c>
      <c r="P36" s="28">
        <f>SUMIF(Info!B:B,B36,Info!L:L)</f>
        <v>0</v>
      </c>
      <c r="Q36" s="28">
        <f>SUMIF(Info!B:B,B36,Info!M:M)</f>
        <v>0</v>
      </c>
      <c r="R36" s="28">
        <f>SUMIF(Info!B:B,B36,Info!N:N)</f>
        <v>0</v>
      </c>
      <c r="S36" s="30">
        <f t="shared" si="1"/>
        <v>0</v>
      </c>
    </row>
    <row r="37" spans="1:19" x14ac:dyDescent="0.25">
      <c r="A37" s="21"/>
      <c r="B37" s="7">
        <v>235</v>
      </c>
      <c r="C37" s="9">
        <f>SUMIF(Info!B:B,B37,Info!C:C)</f>
        <v>0</v>
      </c>
      <c r="D37" s="9">
        <f>SUMIF(Info!B:B,B37,Info!D:D)</f>
        <v>0</v>
      </c>
      <c r="E37" s="9">
        <f>SUMIF(Info!B:B,B37,Info!F:F)</f>
        <v>0</v>
      </c>
      <c r="G37" s="9">
        <f>SUMIF(Info!B:B,B37,Info!I:I)</f>
        <v>0</v>
      </c>
      <c r="H37" s="9">
        <f>SUMIF(Info!B:B,B37,Info!J:J)</f>
        <v>0</v>
      </c>
      <c r="I37" s="9">
        <f>SUMIF(Info!B:B,B37,Info!K:K)</f>
        <v>0</v>
      </c>
      <c r="J37" s="22">
        <f t="shared" si="0"/>
        <v>0</v>
      </c>
      <c r="K37" s="23"/>
      <c r="L37" s="9">
        <f>SUMIF(Info!B:B,B37,Info!C:C)</f>
        <v>0</v>
      </c>
      <c r="M37" s="9">
        <f>SUMIF(Info!B:B,B37,Info!D:D)</f>
        <v>0</v>
      </c>
      <c r="N37" s="9">
        <f>SUMIF(Info!B:B,B37,Info!E:E)</f>
        <v>0</v>
      </c>
      <c r="P37" s="9">
        <f>SUMIF(Info!B:B,B37,Info!L:L)</f>
        <v>0</v>
      </c>
      <c r="Q37" s="9">
        <f>SUMIF(Info!B:B,B37,Info!M:M)</f>
        <v>0</v>
      </c>
      <c r="R37" s="9">
        <f>SUMIF(Info!B:B,B37,Info!N:N)</f>
        <v>0</v>
      </c>
      <c r="S37" s="22">
        <f t="shared" si="1"/>
        <v>0</v>
      </c>
    </row>
    <row r="38" spans="1:19" x14ac:dyDescent="0.25">
      <c r="A38" s="27"/>
      <c r="B38" s="29">
        <v>236</v>
      </c>
      <c r="C38" s="28">
        <f>SUMIF(Info!B:B,B38,Info!C:C)</f>
        <v>0</v>
      </c>
      <c r="D38" s="28">
        <f>SUMIF(Info!B:B,B38,Info!D:D)</f>
        <v>0</v>
      </c>
      <c r="E38" s="28">
        <f>SUMIF(Info!B:B,B38,Info!F:F)</f>
        <v>0</v>
      </c>
      <c r="G38" s="28">
        <f>SUMIF(Info!B:B,B38,Info!I:I)</f>
        <v>0</v>
      </c>
      <c r="H38" s="28">
        <f>SUMIF(Info!B:B,B38,Info!J:J)</f>
        <v>0</v>
      </c>
      <c r="I38" s="28">
        <f>SUMIF(Info!B:B,B38,Info!K:K)</f>
        <v>0</v>
      </c>
      <c r="J38" s="30">
        <f t="shared" si="0"/>
        <v>0</v>
      </c>
      <c r="K38" s="23"/>
      <c r="L38" s="28">
        <f>SUMIF(Info!B:B,B38,Info!C:C)</f>
        <v>0</v>
      </c>
      <c r="M38" s="28">
        <f>SUMIF(Info!B:B,B38,Info!D:D)</f>
        <v>0</v>
      </c>
      <c r="N38" s="28">
        <f>SUMIF(Info!B:B,B38,Info!E:E)</f>
        <v>0</v>
      </c>
      <c r="P38" s="28">
        <f>SUMIF(Info!B:B,B38,Info!L:L)</f>
        <v>0</v>
      </c>
      <c r="Q38" s="28">
        <f>SUMIF(Info!B:B,B38,Info!M:M)</f>
        <v>0</v>
      </c>
      <c r="R38" s="28">
        <f>SUMIF(Info!B:B,B38,Info!N:N)</f>
        <v>0</v>
      </c>
      <c r="S38" s="30">
        <f t="shared" si="1"/>
        <v>0</v>
      </c>
    </row>
    <row r="39" spans="1:19" x14ac:dyDescent="0.25">
      <c r="A39" s="21"/>
      <c r="B39" s="7">
        <v>237</v>
      </c>
      <c r="C39" s="9">
        <f>SUMIF(Info!B:B,B39,Info!C:C)</f>
        <v>0</v>
      </c>
      <c r="D39" s="9">
        <f>SUMIF(Info!B:B,B39,Info!D:D)</f>
        <v>0</v>
      </c>
      <c r="E39" s="9">
        <f>SUMIF(Info!B:B,B39,Info!F:F)</f>
        <v>0</v>
      </c>
      <c r="G39" s="9">
        <f>SUMIF(Info!B:B,B39,Info!I:I)</f>
        <v>0</v>
      </c>
      <c r="H39" s="9">
        <f>SUMIF(Info!B:B,B39,Info!J:J)</f>
        <v>0</v>
      </c>
      <c r="I39" s="9">
        <f>SUMIF(Info!B:B,B39,Info!K:K)</f>
        <v>0</v>
      </c>
      <c r="J39" s="22">
        <f t="shared" si="0"/>
        <v>0</v>
      </c>
      <c r="K39" s="23"/>
      <c r="L39" s="9">
        <f>SUMIF(Info!B:B,B39,Info!C:C)</f>
        <v>0</v>
      </c>
      <c r="M39" s="9">
        <f>SUMIF(Info!B:B,B39,Info!D:D)</f>
        <v>0</v>
      </c>
      <c r="N39" s="9">
        <f>SUMIF(Info!B:B,B39,Info!E:E)</f>
        <v>0</v>
      </c>
      <c r="P39" s="9">
        <f>SUMIF(Info!B:B,B39,Info!L:L)</f>
        <v>0</v>
      </c>
      <c r="Q39" s="9">
        <f>SUMIF(Info!B:B,B39,Info!M:M)</f>
        <v>0</v>
      </c>
      <c r="R39" s="9">
        <f>SUMIF(Info!B:B,B39,Info!N:N)</f>
        <v>0</v>
      </c>
      <c r="S39" s="22">
        <f t="shared" si="1"/>
        <v>0</v>
      </c>
    </row>
    <row r="40" spans="1:19" x14ac:dyDescent="0.25">
      <c r="A40" s="27"/>
      <c r="B40" s="29">
        <v>238</v>
      </c>
      <c r="C40" s="28">
        <f>SUMIF(Info!B:B,B40,Info!C:C)</f>
        <v>0</v>
      </c>
      <c r="D40" s="28">
        <f>SUMIF(Info!B:B,B40,Info!D:D)</f>
        <v>0</v>
      </c>
      <c r="E40" s="28">
        <f>SUMIF(Info!B:B,B40,Info!F:F)</f>
        <v>0</v>
      </c>
      <c r="G40" s="28">
        <f>SUMIF(Info!B:B,B40,Info!I:I)</f>
        <v>0</v>
      </c>
      <c r="H40" s="28">
        <f>SUMIF(Info!B:B,B40,Info!J:J)</f>
        <v>0</v>
      </c>
      <c r="I40" s="28">
        <f>SUMIF(Info!B:B,B40,Info!K:K)</f>
        <v>0</v>
      </c>
      <c r="J40" s="30">
        <f t="shared" si="0"/>
        <v>0</v>
      </c>
      <c r="K40" s="23"/>
      <c r="L40" s="28">
        <f>SUMIF(Info!B:B,B40,Info!C:C)</f>
        <v>0</v>
      </c>
      <c r="M40" s="28">
        <f>SUMIF(Info!B:B,B40,Info!D:D)</f>
        <v>0</v>
      </c>
      <c r="N40" s="28">
        <f>SUMIF(Info!B:B,B40,Info!E:E)</f>
        <v>0</v>
      </c>
      <c r="P40" s="28">
        <f>SUMIF(Info!B:B,B40,Info!L:L)</f>
        <v>0</v>
      </c>
      <c r="Q40" s="28">
        <f>SUMIF(Info!B:B,B40,Info!M:M)</f>
        <v>0</v>
      </c>
      <c r="R40" s="28">
        <f>SUMIF(Info!B:B,B40,Info!N:N)</f>
        <v>0</v>
      </c>
      <c r="S40" s="30">
        <f t="shared" si="1"/>
        <v>0</v>
      </c>
    </row>
    <row r="41" spans="1:19" x14ac:dyDescent="0.25">
      <c r="A41" s="21"/>
      <c r="B41" s="7">
        <v>239</v>
      </c>
      <c r="C41" s="9">
        <f>SUMIF(Info!B:B,B41,Info!C:C)</f>
        <v>0</v>
      </c>
      <c r="D41" s="9">
        <f>SUMIF(Info!B:B,B41,Info!D:D)</f>
        <v>0</v>
      </c>
      <c r="E41" s="9">
        <f>SUMIF(Info!B:B,B41,Info!F:F)</f>
        <v>0</v>
      </c>
      <c r="G41" s="9">
        <f>SUMIF(Info!B:B,B41,Info!I:I)</f>
        <v>0</v>
      </c>
      <c r="H41" s="9">
        <f>SUMIF(Info!B:B,B41,Info!J:J)</f>
        <v>0</v>
      </c>
      <c r="I41" s="9">
        <f>SUMIF(Info!B:B,B41,Info!K:K)</f>
        <v>0</v>
      </c>
      <c r="J41" s="22">
        <f t="shared" si="0"/>
        <v>0</v>
      </c>
      <c r="K41" s="23"/>
      <c r="L41" s="9">
        <f>SUMIF(Info!B:B,B41,Info!C:C)</f>
        <v>0</v>
      </c>
      <c r="M41" s="9">
        <f>SUMIF(Info!B:B,B41,Info!D:D)</f>
        <v>0</v>
      </c>
      <c r="N41" s="9">
        <f>SUMIF(Info!B:B,B41,Info!E:E)</f>
        <v>0</v>
      </c>
      <c r="P41" s="9">
        <f>SUMIF(Info!B:B,B41,Info!L:L)</f>
        <v>0</v>
      </c>
      <c r="Q41" s="9">
        <f>SUMIF(Info!B:B,B41,Info!M:M)</f>
        <v>0</v>
      </c>
      <c r="R41" s="9">
        <f>SUMIF(Info!B:B,B41,Info!N:N)</f>
        <v>0</v>
      </c>
      <c r="S41" s="22">
        <f t="shared" si="1"/>
        <v>0</v>
      </c>
    </row>
    <row r="42" spans="1:19" x14ac:dyDescent="0.25">
      <c r="A42" s="27"/>
      <c r="B42" s="29">
        <v>240</v>
      </c>
      <c r="C42" s="28">
        <f>SUMIF(Info!B:B,B42,Info!C:C)</f>
        <v>0</v>
      </c>
      <c r="D42" s="28">
        <f>SUMIF(Info!B:B,B42,Info!D:D)</f>
        <v>0</v>
      </c>
      <c r="E42" s="28">
        <f>SUMIF(Info!B:B,B42,Info!F:F)</f>
        <v>0</v>
      </c>
      <c r="G42" s="28">
        <f>SUMIF(Info!B:B,B42,Info!I:I)</f>
        <v>0</v>
      </c>
      <c r="H42" s="28">
        <f>SUMIF(Info!B:B,B42,Info!J:J)</f>
        <v>0</v>
      </c>
      <c r="I42" s="28">
        <f>SUMIF(Info!B:B,B42,Info!K:K)</f>
        <v>0</v>
      </c>
      <c r="J42" s="30">
        <f t="shared" si="0"/>
        <v>0</v>
      </c>
      <c r="K42" s="23"/>
      <c r="L42" s="28">
        <f>SUMIF(Info!B:B,B42,Info!C:C)</f>
        <v>0</v>
      </c>
      <c r="M42" s="28">
        <f>SUMIF(Info!B:B,B42,Info!D:D)</f>
        <v>0</v>
      </c>
      <c r="N42" s="28">
        <f>SUMIF(Info!B:B,B42,Info!E:E)</f>
        <v>0</v>
      </c>
      <c r="P42" s="28">
        <f>SUMIF(Info!B:B,B42,Info!L:L)</f>
        <v>0</v>
      </c>
      <c r="Q42" s="28">
        <f>SUMIF(Info!B:B,B42,Info!M:M)</f>
        <v>0</v>
      </c>
      <c r="R42" s="28">
        <f>SUMIF(Info!B:B,B42,Info!N:N)</f>
        <v>0</v>
      </c>
      <c r="S42" s="30">
        <f t="shared" si="1"/>
        <v>0</v>
      </c>
    </row>
    <row r="43" spans="1:19" x14ac:dyDescent="0.25">
      <c r="A43" s="21"/>
      <c r="B43" s="7">
        <v>241</v>
      </c>
      <c r="C43" s="9">
        <f>SUMIF(Info!B:B,B43,Info!C:C)</f>
        <v>0</v>
      </c>
      <c r="D43" s="9">
        <f>SUMIF(Info!B:B,B43,Info!D:D)</f>
        <v>0</v>
      </c>
      <c r="E43" s="9">
        <f>SUMIF(Info!B:B,B43,Info!F:F)</f>
        <v>0</v>
      </c>
      <c r="G43" s="9">
        <f>SUMIF(Info!B:B,B43,Info!I:I)</f>
        <v>0</v>
      </c>
      <c r="H43" s="9">
        <f>SUMIF(Info!B:B,B43,Info!J:J)</f>
        <v>0</v>
      </c>
      <c r="I43" s="9">
        <f>SUMIF(Info!B:B,B43,Info!K:K)</f>
        <v>0</v>
      </c>
      <c r="J43" s="22">
        <f t="shared" si="0"/>
        <v>0</v>
      </c>
      <c r="K43" s="23"/>
      <c r="L43" s="9">
        <f>SUMIF(Info!B:B,B43,Info!C:C)</f>
        <v>0</v>
      </c>
      <c r="M43" s="9">
        <f>SUMIF(Info!B:B,B43,Info!D:D)</f>
        <v>0</v>
      </c>
      <c r="N43" s="9">
        <f>SUMIF(Info!B:B,B43,Info!E:E)</f>
        <v>0</v>
      </c>
      <c r="P43" s="9">
        <f>SUMIF(Info!B:B,B43,Info!L:L)</f>
        <v>0</v>
      </c>
      <c r="Q43" s="9">
        <f>SUMIF(Info!B:B,B43,Info!M:M)</f>
        <v>0</v>
      </c>
      <c r="R43" s="9">
        <f>SUMIF(Info!B:B,B43,Info!N:N)</f>
        <v>0</v>
      </c>
      <c r="S43" s="22">
        <f t="shared" si="1"/>
        <v>0</v>
      </c>
    </row>
    <row r="44" spans="1:19" x14ac:dyDescent="0.25">
      <c r="C44" s="9">
        <f>SUM(C4:C43)</f>
        <v>33</v>
      </c>
      <c r="D44" s="9">
        <f>SUM(D4:D43)</f>
        <v>110</v>
      </c>
      <c r="E44" s="9">
        <f>SUM(E4:E43)</f>
        <v>227</v>
      </c>
      <c r="G44" s="9">
        <f t="shared" ref="C44:S44" si="2">SUM(G4:G43)</f>
        <v>713</v>
      </c>
      <c r="H44" s="9">
        <f t="shared" si="2"/>
        <v>668</v>
      </c>
      <c r="I44" s="9">
        <f t="shared" si="2"/>
        <v>196</v>
      </c>
      <c r="J44" s="22">
        <f t="shared" si="2"/>
        <v>-1207</v>
      </c>
      <c r="L44" s="9">
        <f t="shared" si="2"/>
        <v>33</v>
      </c>
      <c r="M44" s="9">
        <f t="shared" si="2"/>
        <v>110</v>
      </c>
      <c r="N44" s="9">
        <f t="shared" si="2"/>
        <v>6</v>
      </c>
      <c r="P44" s="9">
        <f t="shared" si="2"/>
        <v>12</v>
      </c>
      <c r="Q44" s="9">
        <f t="shared" si="2"/>
        <v>16</v>
      </c>
      <c r="R44" s="9">
        <f t="shared" si="2"/>
        <v>3</v>
      </c>
      <c r="S44" s="8">
        <f t="shared" si="2"/>
        <v>112</v>
      </c>
    </row>
  </sheetData>
  <mergeCells count="4">
    <mergeCell ref="C1:E1"/>
    <mergeCell ref="G1:I1"/>
    <mergeCell ref="L1:N1"/>
    <mergeCell ref="P1:R1"/>
  </mergeCells>
  <conditionalFormatting sqref="B52:B1048576 B1:B3 B6:B31">
    <cfRule type="expression" dxfId="2" priority="48">
      <formula>"SI($B:$B&amp;$A:$A=Hoja2!$C:$C"</formula>
    </cfRule>
  </conditionalFormatting>
  <conditionalFormatting sqref="B4:B5">
    <cfRule type="expression" dxfId="1" priority="44">
      <formula>"SI($B:$B&amp;$A:$A=Hoja2!$C:$C"</formula>
    </cfRule>
  </conditionalFormatting>
  <conditionalFormatting sqref="B32:B43">
    <cfRule type="expression" dxfId="0" priority="1">
      <formula>"SI($B:$B&amp;$A:$A=Hoja2!$C:$C"</formula>
    </cfRule>
  </conditionalFormatting>
  <pageMargins left="3.937007874015748E-2" right="3.937007874015748E-2" top="0.35433070866141736" bottom="0.35433070866141736" header="0.31496062992125984" footer="0.31496062992125984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Info</vt:lpstr>
      <vt:lpstr>query</vt:lpstr>
      <vt:lpstr>REPORTE</vt:lpstr>
      <vt:lpstr>Info!ExternalData_5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Manuel Peña</cp:lastModifiedBy>
  <dcterms:created xsi:type="dcterms:W3CDTF">2014-07-21T00:15:53Z</dcterms:created>
  <dcterms:modified xsi:type="dcterms:W3CDTF">2015-04-27T00:06:40Z</dcterms:modified>
</cp:coreProperties>
</file>