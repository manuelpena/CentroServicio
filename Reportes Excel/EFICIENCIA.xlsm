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activeTab="2"/>
  </bookViews>
  <sheets>
    <sheet name="Info" sheetId="1" r:id="rId1"/>
    <sheet name="query" sheetId="2" r:id="rId2"/>
    <sheet name="SECTOR" sheetId="8" r:id="rId3"/>
    <sheet name="CONSOLIDADO" sheetId="9" r:id="rId4"/>
    <sheet name="DIVISIONES" sheetId="5" state="hidden" r:id="rId5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Info!$B$1:$G$46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E11" i="8"/>
  <c r="E9" i="8"/>
  <c r="D13" i="9" l="1"/>
  <c r="C13" i="9"/>
  <c r="D22" i="9"/>
  <c r="D21" i="9"/>
  <c r="D20" i="9"/>
  <c r="D19" i="9"/>
  <c r="D18" i="9"/>
  <c r="D17" i="9"/>
  <c r="D16" i="9"/>
  <c r="D15" i="9"/>
  <c r="D14" i="9"/>
  <c r="D12" i="9"/>
  <c r="D11" i="9"/>
  <c r="D10" i="9"/>
  <c r="D9" i="9"/>
  <c r="D8" i="9"/>
  <c r="D7" i="9"/>
  <c r="D6" i="9"/>
  <c r="D5" i="9"/>
  <c r="D4" i="9"/>
  <c r="C4" i="9"/>
  <c r="C22" i="9"/>
  <c r="C21" i="9"/>
  <c r="C20" i="9"/>
  <c r="C19" i="9"/>
  <c r="E19" i="9" s="1"/>
  <c r="C18" i="9"/>
  <c r="C17" i="9"/>
  <c r="C16" i="9"/>
  <c r="C15" i="9"/>
  <c r="E15" i="9" s="1"/>
  <c r="F15" i="9" s="1"/>
  <c r="C14" i="9"/>
  <c r="C12" i="9"/>
  <c r="C11" i="9"/>
  <c r="C10" i="9"/>
  <c r="E10" i="9" s="1"/>
  <c r="C9" i="9"/>
  <c r="C8" i="9"/>
  <c r="C7" i="9"/>
  <c r="C6" i="9"/>
  <c r="E6" i="9" s="1"/>
  <c r="C5" i="9"/>
  <c r="B7" i="9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6" i="9"/>
  <c r="B5" i="9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B29" i="8"/>
  <c r="D29" i="8" s="1"/>
  <c r="B28" i="8"/>
  <c r="D28" i="8" s="1"/>
  <c r="E28" i="8" s="1"/>
  <c r="B27" i="8"/>
  <c r="D27" i="8" s="1"/>
  <c r="E27" i="8" s="1"/>
  <c r="B26" i="8"/>
  <c r="D26" i="8" s="1"/>
  <c r="E26" i="8" s="1"/>
  <c r="B25" i="8"/>
  <c r="D25" i="8" s="1"/>
  <c r="E25" i="8" s="1"/>
  <c r="B24" i="8"/>
  <c r="D24" i="8" s="1"/>
  <c r="E24" i="8" s="1"/>
  <c r="B23" i="8"/>
  <c r="D23" i="8" s="1"/>
  <c r="E23" i="8" s="1"/>
  <c r="B22" i="8"/>
  <c r="D22" i="8" s="1"/>
  <c r="E22" i="8" s="1"/>
  <c r="B21" i="8"/>
  <c r="D21" i="8" s="1"/>
  <c r="E21" i="8" s="1"/>
  <c r="B20" i="8"/>
  <c r="D20" i="8" s="1"/>
  <c r="E20" i="8" s="1"/>
  <c r="B19" i="8"/>
  <c r="D19" i="8" s="1"/>
  <c r="E19" i="8" s="1"/>
  <c r="B18" i="8"/>
  <c r="D18" i="8" s="1"/>
  <c r="E18" i="8" s="1"/>
  <c r="B17" i="8"/>
  <c r="D17" i="8" s="1"/>
  <c r="E17" i="8" s="1"/>
  <c r="B16" i="8"/>
  <c r="D16" i="8" s="1"/>
  <c r="E16" i="8" s="1"/>
  <c r="B15" i="8"/>
  <c r="D15" i="8" s="1"/>
  <c r="E15" i="8" s="1"/>
  <c r="B14" i="8"/>
  <c r="D14" i="8" s="1"/>
  <c r="E14" i="8" s="1"/>
  <c r="B13" i="8"/>
  <c r="D13" i="8" s="1"/>
  <c r="E13" i="8" s="1"/>
  <c r="B12" i="8"/>
  <c r="D12" i="8" s="1"/>
  <c r="B11" i="8"/>
  <c r="D11" i="8" s="1"/>
  <c r="B10" i="8"/>
  <c r="D10" i="8" s="1"/>
  <c r="E10" i="8" s="1"/>
  <c r="B9" i="8"/>
  <c r="D9" i="8" s="1"/>
  <c r="B8" i="8"/>
  <c r="D8" i="8" s="1"/>
  <c r="E8" i="8" s="1"/>
  <c r="B7" i="8"/>
  <c r="D7" i="8" s="1"/>
  <c r="E7" i="8" s="1"/>
  <c r="B6" i="8"/>
  <c r="D6" i="8" s="1"/>
  <c r="B1" i="2"/>
  <c r="E14" i="9" l="1"/>
  <c r="F14" i="9" s="1"/>
  <c r="E18" i="9"/>
  <c r="F18" i="9" s="1"/>
  <c r="E22" i="9"/>
  <c r="F22" i="9" s="1"/>
  <c r="E7" i="9"/>
  <c r="F7" i="9" s="1"/>
  <c r="E11" i="9"/>
  <c r="F11" i="9" s="1"/>
  <c r="E16" i="9"/>
  <c r="F16" i="9" s="1"/>
  <c r="E20" i="9"/>
  <c r="F20" i="9" s="1"/>
  <c r="E5" i="9"/>
  <c r="F5" i="9" s="1"/>
  <c r="E8" i="9"/>
  <c r="F8" i="9" s="1"/>
  <c r="E12" i="9"/>
  <c r="F12" i="9" s="1"/>
  <c r="E17" i="9"/>
  <c r="F17" i="9" s="1"/>
  <c r="E21" i="9"/>
  <c r="F21" i="9" s="1"/>
  <c r="E4" i="9"/>
  <c r="F6" i="9"/>
  <c r="E9" i="9"/>
  <c r="F9" i="9" s="1"/>
  <c r="F10" i="9"/>
  <c r="E13" i="9"/>
  <c r="F13" i="9" s="1"/>
  <c r="F19" i="9"/>
  <c r="D30" i="8"/>
  <c r="C30" i="8"/>
  <c r="B30" i="8"/>
  <c r="E29" i="8"/>
  <c r="E6" i="8"/>
  <c r="F4" i="9" l="1"/>
  <c r="E30" i="8"/>
  <c r="B2" i="2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anio,_x000a_  a.campania,_x000a_  a.zona,_x000a_  a.sector,_x000a_  (SELECT _x000a_    COUNT(b.id) _x000a_  FROM_x000a_    consejeras b _x000a_    INNER JOIN pedidos c _x000a_      ON c.codigo = b.codigo _x000a_  WHERE b.zona = a.zona _x000a_    AND c.campania = a.campania _x000a_    AND a.`sector` = b.sector _x000a_         AND c.anio = a.anio) AS devolucion,_x000a_  COUNT(a.codigo) AS eficiencia _x000a_FROM   consejeras_eficiencia a WHERE a.zona = 202 AND a.anio =2015_x000a_GROUP BY a.anio,_x000a_  a.campania,_x000a_  a.zona,_x000a_  a.sector "/>
  </connection>
</connections>
</file>

<file path=xl/sharedStrings.xml><?xml version="1.0" encoding="utf-8"?>
<sst xmlns="http://schemas.openxmlformats.org/spreadsheetml/2006/main" count="66" uniqueCount="28">
  <si>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</si>
  <si>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</si>
  <si>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</si>
  <si>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</si>
  <si>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</si>
  <si>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</si>
  <si>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</si>
  <si>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</si>
  <si>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zona</t>
  </si>
  <si>
    <t>sector</t>
  </si>
  <si>
    <t>CORRELATIVO</t>
  </si>
  <si>
    <t>SECTOR</t>
  </si>
  <si>
    <t>EFICIENCIA POR SECTOR</t>
  </si>
  <si>
    <t>AÑO</t>
  </si>
  <si>
    <t>FACTURADOS</t>
  </si>
  <si>
    <t>DEVOLUCION</t>
  </si>
  <si>
    <t>ENTREGADOS</t>
  </si>
  <si>
    <t>EFICIENCIA</t>
  </si>
  <si>
    <t>EFICIENCIA POR CAMAPAÑA</t>
  </si>
  <si>
    <t>CAMPAÑAS</t>
  </si>
  <si>
    <t>P. FACTURADOS</t>
  </si>
  <si>
    <t>P. DEVOLUCION</t>
  </si>
  <si>
    <t>P. ENTREGADOS</t>
  </si>
  <si>
    <t>EFICIENCIA EN RUTA</t>
  </si>
  <si>
    <t>anio</t>
  </si>
  <si>
    <t>campania</t>
  </si>
  <si>
    <t>devolucion</t>
  </si>
  <si>
    <t>eficiencia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</si>
</sst>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name val="Arial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Alignment="1">
      <alignment horizontal="left" vertical="top" wrapText="1"/>
    </xf>
    <xf numFmtId="0" fontId="3" fillId="0" borderId="0" xfId="0" applyFont="1" applyFill="1"/>
    <xf numFmtId="0" fontId="3" fillId="0" borderId="0" xfId="0" applyFont="1" applyFill="1" applyAlignment="1">
      <alignment wrapText="1"/>
    </xf>
    <xf numFmtId="0" fontId="3" fillId="2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0" fontId="3" fillId="0" borderId="2" xfId="3" applyNumberFormat="1" applyFont="1" applyFill="1" applyBorder="1" applyAlignment="1">
      <alignment horizontal="center"/>
    </xf>
    <xf numFmtId="0" fontId="6" fillId="2" borderId="2" xfId="0" applyFont="1" applyFill="1" applyBorder="1"/>
    <xf numFmtId="0" fontId="6" fillId="2" borderId="2" xfId="0" applyFont="1" applyFill="1" applyBorder="1" applyAlignment="1">
      <alignment horizontal="center"/>
    </xf>
    <xf numFmtId="10" fontId="6" fillId="2" borderId="2" xfId="3" applyNumberFormat="1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0" fontId="3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44" fontId="5" fillId="2" borderId="1" xfId="1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</cellXfs>
  <cellStyles count="4">
    <cellStyle name="Currency" xfId="1" builtinId="4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 por sector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SECTOR!$A$6:$A$29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99</c:v>
                </c:pt>
              </c:numCache>
            </c:numRef>
          </c:cat>
          <c:val>
            <c:numRef>
              <c:f>SECTOR!$E$6:$E$29</c:f>
              <c:numCache>
                <c:formatCode>0.00%</c:formatCode>
                <c:ptCount val="24"/>
                <c:pt idx="0">
                  <c:v>0.92105263157894735</c:v>
                </c:pt>
                <c:pt idx="1">
                  <c:v>0.90322580645161288</c:v>
                </c:pt>
                <c:pt idx="2">
                  <c:v>0.92105263157894735</c:v>
                </c:pt>
                <c:pt idx="3">
                  <c:v>0.2857142857142857</c:v>
                </c:pt>
                <c:pt idx="4">
                  <c:v>0.9042553191489362</c:v>
                </c:pt>
                <c:pt idx="5">
                  <c:v>0.86956521739130432</c:v>
                </c:pt>
                <c:pt idx="6">
                  <c:v>0.90163934426229508</c:v>
                </c:pt>
                <c:pt idx="7">
                  <c:v>0.95454545454545459</c:v>
                </c:pt>
                <c:pt idx="8">
                  <c:v>0.93902439024390238</c:v>
                </c:pt>
                <c:pt idx="9">
                  <c:v>0.95714285714285718</c:v>
                </c:pt>
                <c:pt idx="10">
                  <c:v>0.78260869565217395</c:v>
                </c:pt>
                <c:pt idx="11">
                  <c:v>0.86792452830188682</c:v>
                </c:pt>
                <c:pt idx="12">
                  <c:v>0.85074626865671643</c:v>
                </c:pt>
                <c:pt idx="13">
                  <c:v>0.94285714285714284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752064"/>
        <c:axId val="1397752608"/>
      </c:lineChart>
      <c:catAx>
        <c:axId val="13977520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97752608"/>
        <c:crosses val="autoZero"/>
        <c:auto val="1"/>
        <c:lblAlgn val="ctr"/>
        <c:lblOffset val="100"/>
        <c:noMultiLvlLbl val="0"/>
      </c:catAx>
      <c:valAx>
        <c:axId val="139775260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9775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</a:t>
            </a:r>
            <a:r>
              <a:rPr lang="es-SV" baseline="0"/>
              <a:t> por Campaña</a:t>
            </a:r>
            <a:endParaRPr lang="es-SV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CONSOLIDADO!$B$4:$B$22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cat>
          <c:val>
            <c:numRef>
              <c:f>CONSOLIDADO!$F$4:$F$22</c:f>
              <c:numCache>
                <c:formatCode>0.00%</c:formatCode>
                <c:ptCount val="19"/>
                <c:pt idx="0">
                  <c:v>0.99372384937238489</c:v>
                </c:pt>
                <c:pt idx="1">
                  <c:v>0.9051339285714286</c:v>
                </c:pt>
                <c:pt idx="2">
                  <c:v>0.99890230515916578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216208"/>
        <c:axId val="1364218928"/>
      </c:lineChart>
      <c:catAx>
        <c:axId val="13642162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64218928"/>
        <c:crosses val="autoZero"/>
        <c:auto val="1"/>
        <c:lblAlgn val="ctr"/>
        <c:lblOffset val="100"/>
        <c:noMultiLvlLbl val="0"/>
      </c:catAx>
      <c:valAx>
        <c:axId val="13642189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136421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4</xdr:row>
      <xdr:rowOff>28576</xdr:rowOff>
    </xdr:from>
    <xdr:to>
      <xdr:col>14</xdr:col>
      <xdr:colOff>9525</xdr:colOff>
      <xdr:row>20</xdr:row>
      <xdr:rowOff>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9525</xdr:colOff>
      <xdr:row>0</xdr:row>
      <xdr:rowOff>0</xdr:rowOff>
    </xdr:from>
    <xdr:to>
      <xdr:col>5</xdr:col>
      <xdr:colOff>495239</xdr:colOff>
      <xdr:row>1</xdr:row>
      <xdr:rowOff>180926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48300" y="0"/>
          <a:ext cx="485714" cy="3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33337</xdr:rowOff>
    </xdr:from>
    <xdr:to>
      <xdr:col>15</xdr:col>
      <xdr:colOff>85725</xdr:colOff>
      <xdr:row>20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anio"/>
      <queryTableField id="2" name="campania"/>
      <queryTableField id="3" name="zona"/>
      <queryTableField id="4" name="sector"/>
      <queryTableField id="5" name="devolucion"/>
      <queryTableField id="6" name="eficiencia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F2" sqref="F2"/>
    </sheetView>
  </sheetViews>
  <sheetFormatPr defaultColWidth="9.140625" defaultRowHeight="15" x14ac:dyDescent="0.25"/>
  <cols>
    <col min="2" max="2" width="5" customWidth="1"/>
    <col min="3" max="3" width="9.42578125" customWidth="1"/>
    <col min="4" max="4" width="5.140625" customWidth="1"/>
    <col min="5" max="5" width="6.42578125" customWidth="1"/>
    <col min="6" max="6" width="10.85546875" customWidth="1"/>
    <col min="7" max="7" width="9.5703125" customWidth="1"/>
    <col min="8" max="8" width="4.140625" customWidth="1"/>
    <col min="9" max="9" width="4.42578125" customWidth="1"/>
    <col min="10" max="10" width="12" customWidth="1"/>
    <col min="11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24</v>
      </c>
      <c r="C1" s="1" t="s">
        <v>25</v>
      </c>
      <c r="D1" s="1" t="s">
        <v>8</v>
      </c>
      <c r="E1" s="1" t="s">
        <v>9</v>
      </c>
      <c r="F1" s="1" t="s">
        <v>26</v>
      </c>
      <c r="G1" s="1" t="s">
        <v>27</v>
      </c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>
        <v>2015</v>
      </c>
      <c r="C2">
        <v>1</v>
      </c>
      <c r="D2">
        <v>202</v>
      </c>
      <c r="E2">
        <v>1</v>
      </c>
      <c r="F2">
        <v>2</v>
      </c>
      <c r="G2">
        <v>76</v>
      </c>
      <c r="L2" s="4"/>
    </row>
    <row r="3" spans="1:15" x14ac:dyDescent="0.25">
      <c r="A3">
        <f>IF(B3&gt;0,A2+1,"")</f>
        <v>2</v>
      </c>
      <c r="B3">
        <v>2015</v>
      </c>
      <c r="C3">
        <v>1</v>
      </c>
      <c r="D3">
        <v>202</v>
      </c>
      <c r="E3">
        <v>2</v>
      </c>
      <c r="F3">
        <v>1</v>
      </c>
      <c r="G3">
        <v>93</v>
      </c>
      <c r="L3" s="4"/>
    </row>
    <row r="4" spans="1:15" x14ac:dyDescent="0.25">
      <c r="A4">
        <f t="shared" ref="A4:A67" si="0">IF(B4&gt;0,A3+1,"")</f>
        <v>3</v>
      </c>
      <c r="B4">
        <v>2015</v>
      </c>
      <c r="C4">
        <v>1</v>
      </c>
      <c r="D4">
        <v>202</v>
      </c>
      <c r="E4">
        <v>3</v>
      </c>
      <c r="F4">
        <v>0</v>
      </c>
      <c r="G4">
        <v>38</v>
      </c>
      <c r="L4" s="4"/>
    </row>
    <row r="5" spans="1:15" x14ac:dyDescent="0.25">
      <c r="A5">
        <f t="shared" si="0"/>
        <v>4</v>
      </c>
      <c r="B5">
        <v>2015</v>
      </c>
      <c r="C5">
        <v>1</v>
      </c>
      <c r="D5">
        <v>202</v>
      </c>
      <c r="E5">
        <v>4</v>
      </c>
      <c r="F5">
        <v>0</v>
      </c>
      <c r="G5">
        <v>7</v>
      </c>
      <c r="L5" s="4"/>
    </row>
    <row r="6" spans="1:15" x14ac:dyDescent="0.25">
      <c r="A6">
        <f t="shared" si="0"/>
        <v>5</v>
      </c>
      <c r="B6">
        <v>2015</v>
      </c>
      <c r="C6">
        <v>1</v>
      </c>
      <c r="D6">
        <v>202</v>
      </c>
      <c r="E6">
        <v>5</v>
      </c>
      <c r="F6">
        <v>0</v>
      </c>
      <c r="G6">
        <v>94</v>
      </c>
      <c r="L6" s="4"/>
    </row>
    <row r="7" spans="1:15" x14ac:dyDescent="0.25">
      <c r="A7">
        <f t="shared" si="0"/>
        <v>6</v>
      </c>
      <c r="B7">
        <v>2015</v>
      </c>
      <c r="C7">
        <v>1</v>
      </c>
      <c r="D7">
        <v>202</v>
      </c>
      <c r="E7">
        <v>6</v>
      </c>
      <c r="F7">
        <v>1</v>
      </c>
      <c r="G7">
        <v>69</v>
      </c>
      <c r="L7" s="4"/>
    </row>
    <row r="8" spans="1:15" x14ac:dyDescent="0.25">
      <c r="A8">
        <f t="shared" si="0"/>
        <v>7</v>
      </c>
      <c r="B8">
        <v>2015</v>
      </c>
      <c r="C8">
        <v>1</v>
      </c>
      <c r="D8">
        <v>202</v>
      </c>
      <c r="E8">
        <v>7</v>
      </c>
      <c r="F8">
        <v>0</v>
      </c>
      <c r="G8">
        <v>61</v>
      </c>
      <c r="L8" s="4"/>
    </row>
    <row r="9" spans="1:15" x14ac:dyDescent="0.25">
      <c r="A9">
        <f t="shared" si="0"/>
        <v>8</v>
      </c>
      <c r="B9">
        <v>2015</v>
      </c>
      <c r="C9">
        <v>1</v>
      </c>
      <c r="D9">
        <v>202</v>
      </c>
      <c r="E9">
        <v>8</v>
      </c>
      <c r="F9">
        <v>0</v>
      </c>
      <c r="G9">
        <v>88</v>
      </c>
      <c r="L9" s="4"/>
    </row>
    <row r="10" spans="1:15" x14ac:dyDescent="0.25">
      <c r="A10">
        <f t="shared" si="0"/>
        <v>9</v>
      </c>
      <c r="B10">
        <v>2015</v>
      </c>
      <c r="C10">
        <v>1</v>
      </c>
      <c r="D10">
        <v>202</v>
      </c>
      <c r="E10">
        <v>9</v>
      </c>
      <c r="F10">
        <v>0</v>
      </c>
      <c r="G10">
        <v>82</v>
      </c>
      <c r="L10" s="4"/>
    </row>
    <row r="11" spans="1:15" x14ac:dyDescent="0.25">
      <c r="A11">
        <f t="shared" si="0"/>
        <v>10</v>
      </c>
      <c r="B11">
        <v>2015</v>
      </c>
      <c r="C11">
        <v>1</v>
      </c>
      <c r="D11">
        <v>202</v>
      </c>
      <c r="E11">
        <v>10</v>
      </c>
      <c r="F11">
        <v>0</v>
      </c>
      <c r="G11">
        <v>70</v>
      </c>
      <c r="L11" s="4"/>
    </row>
    <row r="12" spans="1:15" x14ac:dyDescent="0.25">
      <c r="A12">
        <f t="shared" si="0"/>
        <v>11</v>
      </c>
      <c r="B12">
        <v>2015</v>
      </c>
      <c r="C12">
        <v>1</v>
      </c>
      <c r="D12">
        <v>202</v>
      </c>
      <c r="E12">
        <v>11</v>
      </c>
      <c r="F12">
        <v>0</v>
      </c>
      <c r="G12">
        <v>23</v>
      </c>
      <c r="L12" s="4"/>
    </row>
    <row r="13" spans="1:15" x14ac:dyDescent="0.25">
      <c r="A13">
        <f t="shared" si="0"/>
        <v>12</v>
      </c>
      <c r="B13">
        <v>2015</v>
      </c>
      <c r="C13">
        <v>1</v>
      </c>
      <c r="D13">
        <v>202</v>
      </c>
      <c r="E13">
        <v>12</v>
      </c>
      <c r="F13">
        <v>2</v>
      </c>
      <c r="G13">
        <v>53</v>
      </c>
      <c r="L13" s="4"/>
    </row>
    <row r="14" spans="1:15" x14ac:dyDescent="0.25">
      <c r="A14">
        <f t="shared" si="0"/>
        <v>13</v>
      </c>
      <c r="B14">
        <v>2015</v>
      </c>
      <c r="C14">
        <v>1</v>
      </c>
      <c r="D14">
        <v>202</v>
      </c>
      <c r="E14">
        <v>13</v>
      </c>
      <c r="F14">
        <v>0</v>
      </c>
      <c r="G14">
        <v>67</v>
      </c>
      <c r="L14" s="4"/>
    </row>
    <row r="15" spans="1:15" x14ac:dyDescent="0.25">
      <c r="A15">
        <f t="shared" si="0"/>
        <v>14</v>
      </c>
      <c r="B15">
        <v>2015</v>
      </c>
      <c r="C15">
        <v>1</v>
      </c>
      <c r="D15">
        <v>202</v>
      </c>
      <c r="E15">
        <v>14</v>
      </c>
      <c r="F15">
        <v>0</v>
      </c>
      <c r="G15">
        <v>70</v>
      </c>
      <c r="L15" s="4"/>
    </row>
    <row r="16" spans="1:15" x14ac:dyDescent="0.25">
      <c r="A16">
        <f t="shared" si="0"/>
        <v>15</v>
      </c>
      <c r="B16">
        <v>2015</v>
      </c>
      <c r="C16">
        <v>1</v>
      </c>
      <c r="D16">
        <v>202</v>
      </c>
      <c r="E16">
        <v>99</v>
      </c>
      <c r="F16">
        <v>0</v>
      </c>
      <c r="G16">
        <v>65</v>
      </c>
      <c r="L16" s="4"/>
    </row>
    <row r="17" spans="1:12" x14ac:dyDescent="0.25">
      <c r="A17">
        <f t="shared" si="0"/>
        <v>16</v>
      </c>
      <c r="B17">
        <v>2015</v>
      </c>
      <c r="C17">
        <v>2</v>
      </c>
      <c r="D17">
        <v>202</v>
      </c>
      <c r="E17">
        <v>1</v>
      </c>
      <c r="F17">
        <v>6</v>
      </c>
      <c r="G17">
        <v>76</v>
      </c>
      <c r="L17" s="4"/>
    </row>
    <row r="18" spans="1:12" x14ac:dyDescent="0.25">
      <c r="A18">
        <f t="shared" si="0"/>
        <v>17</v>
      </c>
      <c r="B18">
        <v>2015</v>
      </c>
      <c r="C18">
        <v>2</v>
      </c>
      <c r="D18">
        <v>202</v>
      </c>
      <c r="E18">
        <v>2</v>
      </c>
      <c r="F18">
        <v>9</v>
      </c>
      <c r="G18">
        <v>93</v>
      </c>
      <c r="L18" s="4"/>
    </row>
    <row r="19" spans="1:12" x14ac:dyDescent="0.25">
      <c r="A19">
        <f t="shared" si="0"/>
        <v>18</v>
      </c>
      <c r="B19">
        <v>2015</v>
      </c>
      <c r="C19">
        <v>2</v>
      </c>
      <c r="D19">
        <v>202</v>
      </c>
      <c r="E19">
        <v>3</v>
      </c>
      <c r="F19">
        <v>3</v>
      </c>
      <c r="G19">
        <v>38</v>
      </c>
      <c r="L19" s="4"/>
    </row>
    <row r="20" spans="1:12" x14ac:dyDescent="0.25">
      <c r="A20">
        <f t="shared" si="0"/>
        <v>19</v>
      </c>
      <c r="B20">
        <v>2015</v>
      </c>
      <c r="C20">
        <v>2</v>
      </c>
      <c r="D20">
        <v>202</v>
      </c>
      <c r="E20">
        <v>4</v>
      </c>
      <c r="F20">
        <v>5</v>
      </c>
      <c r="G20">
        <v>7</v>
      </c>
      <c r="L20" s="4"/>
    </row>
    <row r="21" spans="1:12" x14ac:dyDescent="0.25">
      <c r="A21">
        <f t="shared" si="0"/>
        <v>20</v>
      </c>
      <c r="B21">
        <v>2015</v>
      </c>
      <c r="C21">
        <v>2</v>
      </c>
      <c r="D21">
        <v>202</v>
      </c>
      <c r="E21">
        <v>5</v>
      </c>
      <c r="F21">
        <v>9</v>
      </c>
      <c r="G21">
        <v>94</v>
      </c>
      <c r="L21" s="4"/>
    </row>
    <row r="22" spans="1:12" x14ac:dyDescent="0.25">
      <c r="A22">
        <f t="shared" si="0"/>
        <v>21</v>
      </c>
      <c r="B22">
        <v>2015</v>
      </c>
      <c r="C22">
        <v>2</v>
      </c>
      <c r="D22">
        <v>202</v>
      </c>
      <c r="E22">
        <v>6</v>
      </c>
      <c r="F22">
        <v>9</v>
      </c>
      <c r="G22">
        <v>69</v>
      </c>
      <c r="L22" s="4"/>
    </row>
    <row r="23" spans="1:12" x14ac:dyDescent="0.25">
      <c r="A23">
        <f t="shared" si="0"/>
        <v>22</v>
      </c>
      <c r="B23">
        <v>2015</v>
      </c>
      <c r="C23">
        <v>2</v>
      </c>
      <c r="D23">
        <v>202</v>
      </c>
      <c r="E23">
        <v>7</v>
      </c>
      <c r="F23">
        <v>6</v>
      </c>
      <c r="G23">
        <v>61</v>
      </c>
      <c r="L23" s="4"/>
    </row>
    <row r="24" spans="1:12" x14ac:dyDescent="0.25">
      <c r="A24">
        <f t="shared" si="0"/>
        <v>23</v>
      </c>
      <c r="B24">
        <v>2015</v>
      </c>
      <c r="C24">
        <v>2</v>
      </c>
      <c r="D24">
        <v>202</v>
      </c>
      <c r="E24">
        <v>8</v>
      </c>
      <c r="F24">
        <v>4</v>
      </c>
      <c r="G24">
        <v>88</v>
      </c>
      <c r="L24" s="4"/>
    </row>
    <row r="25" spans="1:12" x14ac:dyDescent="0.25">
      <c r="A25">
        <f t="shared" si="0"/>
        <v>24</v>
      </c>
      <c r="B25">
        <v>2015</v>
      </c>
      <c r="C25">
        <v>2</v>
      </c>
      <c r="D25">
        <v>202</v>
      </c>
      <c r="E25">
        <v>9</v>
      </c>
      <c r="F25">
        <v>5</v>
      </c>
      <c r="G25">
        <v>82</v>
      </c>
      <c r="L25" s="4"/>
    </row>
    <row r="26" spans="1:12" x14ac:dyDescent="0.25">
      <c r="A26">
        <f t="shared" si="0"/>
        <v>25</v>
      </c>
      <c r="B26">
        <v>2015</v>
      </c>
      <c r="C26">
        <v>2</v>
      </c>
      <c r="D26">
        <v>202</v>
      </c>
      <c r="E26">
        <v>10</v>
      </c>
      <c r="F26">
        <v>3</v>
      </c>
      <c r="G26">
        <v>70</v>
      </c>
      <c r="L26" s="4"/>
    </row>
    <row r="27" spans="1:12" x14ac:dyDescent="0.25">
      <c r="A27">
        <f t="shared" si="0"/>
        <v>26</v>
      </c>
      <c r="B27">
        <v>2015</v>
      </c>
      <c r="C27">
        <v>2</v>
      </c>
      <c r="D27">
        <v>202</v>
      </c>
      <c r="E27">
        <v>11</v>
      </c>
      <c r="F27">
        <v>5</v>
      </c>
      <c r="G27">
        <v>23</v>
      </c>
      <c r="L27" s="4"/>
    </row>
    <row r="28" spans="1:12" x14ac:dyDescent="0.25">
      <c r="A28">
        <f t="shared" si="0"/>
        <v>27</v>
      </c>
      <c r="B28">
        <v>2015</v>
      </c>
      <c r="C28">
        <v>2</v>
      </c>
      <c r="D28">
        <v>202</v>
      </c>
      <c r="E28">
        <v>12</v>
      </c>
      <c r="F28">
        <v>7</v>
      </c>
      <c r="G28">
        <v>53</v>
      </c>
      <c r="L28" s="4"/>
    </row>
    <row r="29" spans="1:12" x14ac:dyDescent="0.25">
      <c r="A29">
        <f t="shared" si="0"/>
        <v>28</v>
      </c>
      <c r="B29">
        <v>2015</v>
      </c>
      <c r="C29">
        <v>2</v>
      </c>
      <c r="D29">
        <v>202</v>
      </c>
      <c r="E29">
        <v>13</v>
      </c>
      <c r="F29">
        <v>10</v>
      </c>
      <c r="G29">
        <v>67</v>
      </c>
      <c r="L29" s="4"/>
    </row>
    <row r="30" spans="1:12" x14ac:dyDescent="0.25">
      <c r="A30">
        <f t="shared" si="0"/>
        <v>29</v>
      </c>
      <c r="B30">
        <v>2015</v>
      </c>
      <c r="C30">
        <v>2</v>
      </c>
      <c r="D30">
        <v>202</v>
      </c>
      <c r="E30">
        <v>14</v>
      </c>
      <c r="F30">
        <v>4</v>
      </c>
      <c r="G30">
        <v>70</v>
      </c>
      <c r="L30" s="4"/>
    </row>
    <row r="31" spans="1:12" x14ac:dyDescent="0.25">
      <c r="A31">
        <f t="shared" si="0"/>
        <v>30</v>
      </c>
      <c r="B31">
        <v>2015</v>
      </c>
      <c r="C31">
        <v>2</v>
      </c>
      <c r="D31">
        <v>202</v>
      </c>
      <c r="E31">
        <v>99</v>
      </c>
      <c r="F31">
        <v>0</v>
      </c>
      <c r="G31">
        <v>5</v>
      </c>
      <c r="L31" s="4"/>
    </row>
    <row r="32" spans="1:12" x14ac:dyDescent="0.25">
      <c r="A32">
        <f t="shared" si="0"/>
        <v>31</v>
      </c>
      <c r="B32">
        <v>2015</v>
      </c>
      <c r="C32">
        <v>3</v>
      </c>
      <c r="D32">
        <v>202</v>
      </c>
      <c r="E32">
        <v>1</v>
      </c>
      <c r="F32">
        <v>0</v>
      </c>
      <c r="G32">
        <v>76</v>
      </c>
      <c r="L32" s="4"/>
    </row>
    <row r="33" spans="1:12" x14ac:dyDescent="0.25">
      <c r="A33">
        <f t="shared" si="0"/>
        <v>32</v>
      </c>
      <c r="B33">
        <v>2015</v>
      </c>
      <c r="C33">
        <v>3</v>
      </c>
      <c r="D33">
        <v>202</v>
      </c>
      <c r="E33">
        <v>2</v>
      </c>
      <c r="F33">
        <v>0</v>
      </c>
      <c r="G33">
        <v>93</v>
      </c>
      <c r="L33" s="4"/>
    </row>
    <row r="34" spans="1:12" x14ac:dyDescent="0.25">
      <c r="A34">
        <f t="shared" si="0"/>
        <v>33</v>
      </c>
      <c r="B34">
        <v>2015</v>
      </c>
      <c r="C34">
        <v>3</v>
      </c>
      <c r="D34">
        <v>202</v>
      </c>
      <c r="E34">
        <v>3</v>
      </c>
      <c r="F34">
        <v>0</v>
      </c>
      <c r="G34">
        <v>38</v>
      </c>
      <c r="L34" s="4"/>
    </row>
    <row r="35" spans="1:12" x14ac:dyDescent="0.25">
      <c r="A35">
        <f t="shared" si="0"/>
        <v>34</v>
      </c>
      <c r="B35">
        <v>2015</v>
      </c>
      <c r="C35">
        <v>3</v>
      </c>
      <c r="D35">
        <v>202</v>
      </c>
      <c r="E35">
        <v>4</v>
      </c>
      <c r="F35">
        <v>0</v>
      </c>
      <c r="G35">
        <v>7</v>
      </c>
      <c r="L35" s="4"/>
    </row>
    <row r="36" spans="1:12" x14ac:dyDescent="0.25">
      <c r="A36">
        <f t="shared" si="0"/>
        <v>35</v>
      </c>
      <c r="B36">
        <v>2015</v>
      </c>
      <c r="C36">
        <v>3</v>
      </c>
      <c r="D36">
        <v>202</v>
      </c>
      <c r="E36">
        <v>5</v>
      </c>
      <c r="F36">
        <v>0</v>
      </c>
      <c r="G36">
        <v>94</v>
      </c>
      <c r="L36" s="4"/>
    </row>
    <row r="37" spans="1:12" x14ac:dyDescent="0.25">
      <c r="A37">
        <f t="shared" si="0"/>
        <v>36</v>
      </c>
      <c r="B37">
        <v>2015</v>
      </c>
      <c r="C37">
        <v>3</v>
      </c>
      <c r="D37">
        <v>202</v>
      </c>
      <c r="E37">
        <v>6</v>
      </c>
      <c r="F37">
        <v>0</v>
      </c>
      <c r="G37">
        <v>69</v>
      </c>
      <c r="L37" s="4"/>
    </row>
    <row r="38" spans="1:12" x14ac:dyDescent="0.25">
      <c r="A38">
        <f t="shared" si="0"/>
        <v>37</v>
      </c>
      <c r="B38">
        <v>2015</v>
      </c>
      <c r="C38">
        <v>3</v>
      </c>
      <c r="D38">
        <v>202</v>
      </c>
      <c r="E38">
        <v>7</v>
      </c>
      <c r="F38">
        <v>0</v>
      </c>
      <c r="G38">
        <v>61</v>
      </c>
      <c r="L38" s="4"/>
    </row>
    <row r="39" spans="1:12" x14ac:dyDescent="0.25">
      <c r="A39">
        <f t="shared" si="0"/>
        <v>38</v>
      </c>
      <c r="B39">
        <v>2015</v>
      </c>
      <c r="C39">
        <v>3</v>
      </c>
      <c r="D39">
        <v>202</v>
      </c>
      <c r="E39">
        <v>8</v>
      </c>
      <c r="F39">
        <v>0</v>
      </c>
      <c r="G39">
        <v>88</v>
      </c>
      <c r="L39" s="4"/>
    </row>
    <row r="40" spans="1:12" x14ac:dyDescent="0.25">
      <c r="A40">
        <f t="shared" si="0"/>
        <v>39</v>
      </c>
      <c r="B40">
        <v>2015</v>
      </c>
      <c r="C40">
        <v>3</v>
      </c>
      <c r="D40">
        <v>202</v>
      </c>
      <c r="E40">
        <v>9</v>
      </c>
      <c r="F40">
        <v>0</v>
      </c>
      <c r="G40">
        <v>82</v>
      </c>
      <c r="L40" s="4"/>
    </row>
    <row r="41" spans="1:12" x14ac:dyDescent="0.25">
      <c r="A41">
        <f t="shared" si="0"/>
        <v>40</v>
      </c>
      <c r="B41">
        <v>2015</v>
      </c>
      <c r="C41">
        <v>3</v>
      </c>
      <c r="D41">
        <v>202</v>
      </c>
      <c r="E41">
        <v>10</v>
      </c>
      <c r="F41">
        <v>0</v>
      </c>
      <c r="G41">
        <v>70</v>
      </c>
      <c r="L41" s="4"/>
    </row>
    <row r="42" spans="1:12" x14ac:dyDescent="0.25">
      <c r="A42">
        <f t="shared" si="0"/>
        <v>41</v>
      </c>
      <c r="B42">
        <v>2015</v>
      </c>
      <c r="C42">
        <v>3</v>
      </c>
      <c r="D42">
        <v>202</v>
      </c>
      <c r="E42">
        <v>11</v>
      </c>
      <c r="F42">
        <v>0</v>
      </c>
      <c r="G42">
        <v>23</v>
      </c>
      <c r="L42" s="4"/>
    </row>
    <row r="43" spans="1:12" x14ac:dyDescent="0.25">
      <c r="A43">
        <f t="shared" si="0"/>
        <v>42</v>
      </c>
      <c r="B43">
        <v>2015</v>
      </c>
      <c r="C43">
        <v>3</v>
      </c>
      <c r="D43">
        <v>202</v>
      </c>
      <c r="E43">
        <v>12</v>
      </c>
      <c r="F43">
        <v>1</v>
      </c>
      <c r="G43">
        <v>53</v>
      </c>
      <c r="L43" s="4"/>
    </row>
    <row r="44" spans="1:12" x14ac:dyDescent="0.25">
      <c r="A44">
        <f t="shared" si="0"/>
        <v>43</v>
      </c>
      <c r="B44">
        <v>2015</v>
      </c>
      <c r="C44">
        <v>3</v>
      </c>
      <c r="D44">
        <v>202</v>
      </c>
      <c r="E44">
        <v>13</v>
      </c>
      <c r="F44">
        <v>0</v>
      </c>
      <c r="G44">
        <v>47</v>
      </c>
      <c r="L44" s="4"/>
    </row>
    <row r="45" spans="1:12" x14ac:dyDescent="0.25">
      <c r="A45">
        <f t="shared" si="0"/>
        <v>44</v>
      </c>
      <c r="B45">
        <v>2015</v>
      </c>
      <c r="C45">
        <v>3</v>
      </c>
      <c r="D45">
        <v>202</v>
      </c>
      <c r="E45">
        <v>14</v>
      </c>
      <c r="F45">
        <v>0</v>
      </c>
      <c r="G45">
        <v>45</v>
      </c>
      <c r="L45" s="4"/>
    </row>
    <row r="46" spans="1:12" x14ac:dyDescent="0.25">
      <c r="A46">
        <f t="shared" si="0"/>
        <v>45</v>
      </c>
      <c r="B46">
        <v>2015</v>
      </c>
      <c r="C46">
        <v>3</v>
      </c>
      <c r="D46">
        <v>202</v>
      </c>
      <c r="E46">
        <v>99</v>
      </c>
      <c r="F46">
        <v>0</v>
      </c>
      <c r="G46">
        <v>65</v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opLeftCell="B3" zoomScaleNormal="100" workbookViewId="0">
      <selection activeCell="B11" sqref="B11:B31"/>
    </sheetView>
  </sheetViews>
  <sheetFormatPr defaultColWidth="9.140625" defaultRowHeight="15" x14ac:dyDescent="0.25"/>
  <cols>
    <col min="2" max="2" width="130.7109375" customWidth="1"/>
  </cols>
  <sheetData>
    <row r="1" spans="1:2" ht="315" x14ac:dyDescent="0.25">
      <c r="A1" s="2" t="s">
        <v>0</v>
      </c>
      <c r="B1" s="7" t="str">
        <f>CONCATENATE("SELECT 
  a.anio,
  a.campania,
  a.zona,
  a.sector,
  (SELECT 
    COUNT(b.id) 
  FROM
    consejeras b 
    INNER JOIN pedidos c 
      ON c.codigo = b.codigo 
  WHERE b.zona = a.zona 
    AND c.campania = a.campania 
    AND a.`sector` = b.sector 
 ","        AND c.anio = a.anio) AS devolucion,
  COUNT(a.codigo) AS eficiencia 
FROM ","  consejeras_eficiencia a WHERE a.zona = ",SECTOR!B2," AND a.anio =",SECTOR!B4,"
GROUP BY a.anio,
  a.campania,
  a.zona,
  a.sector ")</f>
        <v xml:space="preserve">SELECT 
  a.anio,
  a.campania,
  a.zona,
  a.sector,
  (SELECT 
    COUNT(b.id) 
  FROM
    consejeras b 
    INNER JOIN pedidos c 
      ON c.codigo = b.codigo 
  WHERE b.zona = a.zona 
    AND c.campania = a.campania 
    AND a.`sector` = b.sector 
         AND c.anio = a.anio) AS devolucion,
  COUNT(a.codigo) AS eficiencia 
FROM   consejeras_eficiencia a WHERE a.zona = 202 AND a.anio =2015
GROUP BY a.anio,
  a.campania,
  a.zona,
  a.sector </v>
      </c>
    </row>
    <row r="2" spans="1:2" x14ac:dyDescent="0.25">
      <c r="B2" s="3">
        <f>LEN(B1)</f>
        <v>449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showGridLines="0" tabSelected="1" workbookViewId="0">
      <selection activeCell="F12" sqref="F12"/>
    </sheetView>
  </sheetViews>
  <sheetFormatPr defaultColWidth="11.42578125" defaultRowHeight="16.5" x14ac:dyDescent="0.3"/>
  <cols>
    <col min="1" max="1" width="14.7109375" style="8" customWidth="1"/>
    <col min="2" max="5" width="16.7109375" style="8" customWidth="1"/>
    <col min="6" max="6" width="11.42578125" style="8"/>
    <col min="7" max="7" width="12.7109375" style="8" customWidth="1"/>
    <col min="8" max="16384" width="11.42578125" style="8"/>
  </cols>
  <sheetData>
    <row r="1" spans="1:6" x14ac:dyDescent="0.3">
      <c r="A1" s="23" t="s">
        <v>12</v>
      </c>
      <c r="B1" s="23"/>
      <c r="C1" s="23"/>
      <c r="D1" s="23"/>
      <c r="E1" s="23"/>
    </row>
    <row r="2" spans="1:6" x14ac:dyDescent="0.3">
      <c r="A2" s="20" t="s">
        <v>1</v>
      </c>
      <c r="B2" s="20">
        <v>202</v>
      </c>
    </row>
    <row r="3" spans="1:6" x14ac:dyDescent="0.3">
      <c r="A3" s="20" t="s">
        <v>6</v>
      </c>
      <c r="B3" s="20">
        <v>2</v>
      </c>
    </row>
    <row r="4" spans="1:6" x14ac:dyDescent="0.3">
      <c r="A4" s="20" t="s">
        <v>13</v>
      </c>
      <c r="B4" s="20">
        <v>2015</v>
      </c>
    </row>
    <row r="5" spans="1:6" s="9" customFormat="1" ht="21.75" customHeight="1" x14ac:dyDescent="0.3">
      <c r="A5" s="21" t="s">
        <v>11</v>
      </c>
      <c r="B5" s="21" t="s">
        <v>14</v>
      </c>
      <c r="C5" s="21" t="s">
        <v>15</v>
      </c>
      <c r="D5" s="21" t="s">
        <v>16</v>
      </c>
      <c r="E5" s="21" t="s">
        <v>17</v>
      </c>
    </row>
    <row r="6" spans="1:6" x14ac:dyDescent="0.3">
      <c r="A6" s="10">
        <v>1</v>
      </c>
      <c r="B6" s="11">
        <f>SUMIFS(Info!G:G,Info!D:D,$B$2,Info!E:E,A6,Info!B:B,$B$4,Info!C:C,$B$3)</f>
        <v>76</v>
      </c>
      <c r="C6" s="11">
        <f>SUMIFS(Info!F:F,Info!D:D,$B$2,Info!E:E,A6,Info!B:B,$B$4,Info!C:C,$B$3)</f>
        <v>6</v>
      </c>
      <c r="D6" s="11">
        <f>B6-C6</f>
        <v>70</v>
      </c>
      <c r="E6" s="12">
        <f t="shared" ref="E6:E29" si="0">IFERROR(D6/B6,"")</f>
        <v>0.92105263157894735</v>
      </c>
    </row>
    <row r="7" spans="1:6" x14ac:dyDescent="0.3">
      <c r="A7" s="10">
        <v>2</v>
      </c>
      <c r="B7" s="11">
        <f>SUMIFS(Info!G:G,Info!D:D,$B$2,Info!E:E,A7,Info!B:B,$B$4,Info!C:C,$B$3)</f>
        <v>93</v>
      </c>
      <c r="C7" s="11">
        <f>SUMIFS(Info!F:F,Info!D:D,$B$2,Info!E:E,A7,Info!B:B,$B$4,Info!C:C,$B$3)</f>
        <v>9</v>
      </c>
      <c r="D7" s="11">
        <f t="shared" ref="D7:D29" si="1">B7-C7</f>
        <v>84</v>
      </c>
      <c r="E7" s="12">
        <f t="shared" si="0"/>
        <v>0.90322580645161288</v>
      </c>
      <c r="F7" s="5"/>
    </row>
    <row r="8" spans="1:6" x14ac:dyDescent="0.3">
      <c r="A8" s="10">
        <v>3</v>
      </c>
      <c r="B8" s="11">
        <f>SUMIFS(Info!G:G,Info!D:D,$B$2,Info!E:E,A8,Info!B:B,$B$4,Info!C:C,$B$3)</f>
        <v>38</v>
      </c>
      <c r="C8" s="11">
        <f>SUMIFS(Info!F:F,Info!D:D,$B$2,Info!E:E,A8,Info!B:B,$B$4,Info!C:C,$B$3)</f>
        <v>3</v>
      </c>
      <c r="D8" s="11">
        <f t="shared" si="1"/>
        <v>35</v>
      </c>
      <c r="E8" s="12">
        <f t="shared" si="0"/>
        <v>0.92105263157894735</v>
      </c>
    </row>
    <row r="9" spans="1:6" x14ac:dyDescent="0.3">
      <c r="A9" s="10">
        <v>4</v>
      </c>
      <c r="B9" s="11">
        <f>SUMIFS(Info!G:G,Info!D:D,$B$2,Info!E:E,A9,Info!B:B,$B$4,Info!C:C,$B$3)</f>
        <v>7</v>
      </c>
      <c r="C9" s="11">
        <f>SUMIFS(Info!F:F,Info!D:D,$B$2,Info!E:E,A9,Info!B:B,$B$4,Info!C:C,$B$3)</f>
        <v>5</v>
      </c>
      <c r="D9" s="11">
        <f t="shared" si="1"/>
        <v>2</v>
      </c>
      <c r="E9" s="12">
        <f>IFERROR(D9/B9,"")</f>
        <v>0.2857142857142857</v>
      </c>
    </row>
    <row r="10" spans="1:6" x14ac:dyDescent="0.3">
      <c r="A10" s="10">
        <v>5</v>
      </c>
      <c r="B10" s="11">
        <f>SUMIFS(Info!G:G,Info!D:D,$B$2,Info!E:E,A10,Info!B:B,$B$4,Info!C:C,$B$3)</f>
        <v>94</v>
      </c>
      <c r="C10" s="11">
        <f>SUMIFS(Info!F:F,Info!D:D,$B$2,Info!E:E,A10,Info!B:B,$B$4,Info!C:C,$B$3)</f>
        <v>9</v>
      </c>
      <c r="D10" s="11">
        <f t="shared" si="1"/>
        <v>85</v>
      </c>
      <c r="E10" s="12">
        <f t="shared" si="0"/>
        <v>0.9042553191489362</v>
      </c>
    </row>
    <row r="11" spans="1:6" x14ac:dyDescent="0.3">
      <c r="A11" s="10">
        <v>6</v>
      </c>
      <c r="B11" s="11">
        <f>SUMIFS(Info!G:G,Info!D:D,$B$2,Info!E:E,A11,Info!B:B,$B$4,Info!C:C,$B$3)</f>
        <v>69</v>
      </c>
      <c r="C11" s="11">
        <f>SUMIFS(Info!F:F,Info!D:D,$B$2,Info!E:E,A11,Info!B:B,$B$4,Info!C:C,$B$3)</f>
        <v>9</v>
      </c>
      <c r="D11" s="11">
        <f t="shared" si="1"/>
        <v>60</v>
      </c>
      <c r="E11" s="12">
        <f>IFERROR(D11/B11,"")</f>
        <v>0.86956521739130432</v>
      </c>
    </row>
    <row r="12" spans="1:6" x14ac:dyDescent="0.3">
      <c r="A12" s="10">
        <v>7</v>
      </c>
      <c r="B12" s="11">
        <f>SUMIFS(Info!G:G,Info!D:D,$B$2,Info!E:E,A12,Info!B:B,$B$4,Info!C:C,$B$3)</f>
        <v>61</v>
      </c>
      <c r="C12" s="11">
        <f>SUMIFS(Info!F:F,Info!D:D,$B$2,Info!E:E,A12,Info!B:B,$B$4,Info!C:C,$B$3)</f>
        <v>6</v>
      </c>
      <c r="D12" s="11">
        <f t="shared" si="1"/>
        <v>55</v>
      </c>
      <c r="E12" s="12">
        <f>IFERROR(D12/B12,"")</f>
        <v>0.90163934426229508</v>
      </c>
    </row>
    <row r="13" spans="1:6" x14ac:dyDescent="0.3">
      <c r="A13" s="10">
        <v>8</v>
      </c>
      <c r="B13" s="11">
        <f>SUMIFS(Info!G:G,Info!D:D,$B$2,Info!E:E,A13,Info!B:B,$B$4,Info!C:C,$B$3)</f>
        <v>88</v>
      </c>
      <c r="C13" s="11">
        <f>SUMIFS(Info!F:F,Info!D:D,$B$2,Info!E:E,A13,Info!B:B,$B$4,Info!C:C,$B$3)</f>
        <v>4</v>
      </c>
      <c r="D13" s="11">
        <f t="shared" si="1"/>
        <v>84</v>
      </c>
      <c r="E13" s="12">
        <f t="shared" si="0"/>
        <v>0.95454545454545459</v>
      </c>
    </row>
    <row r="14" spans="1:6" x14ac:dyDescent="0.3">
      <c r="A14" s="10">
        <v>9</v>
      </c>
      <c r="B14" s="11">
        <f>SUMIFS(Info!G:G,Info!D:D,$B$2,Info!E:E,A14,Info!B:B,$B$4,Info!C:C,$B$3)</f>
        <v>82</v>
      </c>
      <c r="C14" s="11">
        <f>SUMIFS(Info!F:F,Info!D:D,$B$2,Info!E:E,A14,Info!B:B,$B$4,Info!C:C,$B$3)</f>
        <v>5</v>
      </c>
      <c r="D14" s="11">
        <f t="shared" si="1"/>
        <v>77</v>
      </c>
      <c r="E14" s="12">
        <f t="shared" si="0"/>
        <v>0.93902439024390238</v>
      </c>
    </row>
    <row r="15" spans="1:6" x14ac:dyDescent="0.3">
      <c r="A15" s="10">
        <v>10</v>
      </c>
      <c r="B15" s="11">
        <f>SUMIFS(Info!G:G,Info!D:D,$B$2,Info!E:E,A15,Info!B:B,$B$4,Info!C:C,$B$3)</f>
        <v>70</v>
      </c>
      <c r="C15" s="11">
        <f>SUMIFS(Info!F:F,Info!D:D,$B$2,Info!E:E,A15,Info!B:B,$B$4,Info!C:C,$B$3)</f>
        <v>3</v>
      </c>
      <c r="D15" s="11">
        <f t="shared" si="1"/>
        <v>67</v>
      </c>
      <c r="E15" s="12">
        <f t="shared" si="0"/>
        <v>0.95714285714285718</v>
      </c>
    </row>
    <row r="16" spans="1:6" x14ac:dyDescent="0.3">
      <c r="A16" s="10">
        <v>11</v>
      </c>
      <c r="B16" s="11">
        <f>SUMIFS(Info!G:G,Info!D:D,$B$2,Info!E:E,A16,Info!B:B,$B$4,Info!C:C,$B$3)</f>
        <v>23</v>
      </c>
      <c r="C16" s="11">
        <f>SUMIFS(Info!F:F,Info!D:D,$B$2,Info!E:E,A16,Info!B:B,$B$4,Info!C:C,$B$3)</f>
        <v>5</v>
      </c>
      <c r="D16" s="11">
        <f t="shared" si="1"/>
        <v>18</v>
      </c>
      <c r="E16" s="12">
        <f t="shared" si="0"/>
        <v>0.78260869565217395</v>
      </c>
    </row>
    <row r="17" spans="1:9" x14ac:dyDescent="0.3">
      <c r="A17" s="10">
        <v>12</v>
      </c>
      <c r="B17" s="11">
        <f>SUMIFS(Info!G:G,Info!D:D,$B$2,Info!E:E,A17,Info!B:B,$B$4,Info!C:C,$B$3)</f>
        <v>53</v>
      </c>
      <c r="C17" s="11">
        <f>SUMIFS(Info!F:F,Info!D:D,$B$2,Info!E:E,A17,Info!B:B,$B$4,Info!C:C,$B$3)</f>
        <v>7</v>
      </c>
      <c r="D17" s="11">
        <f t="shared" si="1"/>
        <v>46</v>
      </c>
      <c r="E17" s="12">
        <f t="shared" si="0"/>
        <v>0.86792452830188682</v>
      </c>
    </row>
    <row r="18" spans="1:9" x14ac:dyDescent="0.3">
      <c r="A18" s="10">
        <v>13</v>
      </c>
      <c r="B18" s="11">
        <f>SUMIFS(Info!G:G,Info!D:D,$B$2,Info!E:E,A18,Info!B:B,$B$4,Info!C:C,$B$3)</f>
        <v>67</v>
      </c>
      <c r="C18" s="11">
        <f>SUMIFS(Info!F:F,Info!D:D,$B$2,Info!E:E,A18,Info!B:B,$B$4,Info!C:C,$B$3)</f>
        <v>10</v>
      </c>
      <c r="D18" s="11">
        <f t="shared" si="1"/>
        <v>57</v>
      </c>
      <c r="E18" s="12">
        <f t="shared" si="0"/>
        <v>0.85074626865671643</v>
      </c>
    </row>
    <row r="19" spans="1:9" x14ac:dyDescent="0.3">
      <c r="A19" s="10">
        <v>14</v>
      </c>
      <c r="B19" s="11">
        <f>SUMIFS(Info!G:G,Info!D:D,$B$2,Info!E:E,A19,Info!B:B,$B$4,Info!C:C,$B$3)</f>
        <v>70</v>
      </c>
      <c r="C19" s="11">
        <f>SUMIFS(Info!F:F,Info!D:D,$B$2,Info!E:E,A19,Info!B:B,$B$4,Info!C:C,$B$3)</f>
        <v>4</v>
      </c>
      <c r="D19" s="11">
        <f t="shared" si="1"/>
        <v>66</v>
      </c>
      <c r="E19" s="12">
        <f t="shared" si="0"/>
        <v>0.94285714285714284</v>
      </c>
      <c r="I19" s="6"/>
    </row>
    <row r="20" spans="1:9" x14ac:dyDescent="0.3">
      <c r="A20" s="10">
        <v>15</v>
      </c>
      <c r="B20" s="11">
        <f>SUMIFS(Info!G:G,Info!D:D,$B$2,Info!E:E,A20,Info!B:B,$B$4,Info!C:C,$B$3)</f>
        <v>0</v>
      </c>
      <c r="C20" s="11">
        <f>SUMIFS(Info!F:F,Info!D:D,$B$2,Info!E:E,A20,Info!B:B,$B$4,Info!C:C,$B$3)</f>
        <v>0</v>
      </c>
      <c r="D20" s="11">
        <f t="shared" si="1"/>
        <v>0</v>
      </c>
      <c r="E20" s="12" t="str">
        <f t="shared" si="0"/>
        <v/>
      </c>
      <c r="I20" s="6"/>
    </row>
    <row r="21" spans="1:9" x14ac:dyDescent="0.3">
      <c r="A21" s="10">
        <v>16</v>
      </c>
      <c r="B21" s="11">
        <f>SUMIFS(Info!G:G,Info!D:D,$B$2,Info!E:E,A21,Info!B:B,$B$4,Info!C:C,$B$3)</f>
        <v>0</v>
      </c>
      <c r="C21" s="11">
        <f>SUMIFS(Info!F:F,Info!D:D,$B$2,Info!E:E,A21,Info!B:B,$B$4,Info!C:C,$B$3)</f>
        <v>0</v>
      </c>
      <c r="D21" s="11">
        <f t="shared" si="1"/>
        <v>0</v>
      </c>
      <c r="E21" s="12" t="str">
        <f t="shared" si="0"/>
        <v/>
      </c>
      <c r="I21" s="6"/>
    </row>
    <row r="22" spans="1:9" x14ac:dyDescent="0.3">
      <c r="A22" s="10">
        <v>17</v>
      </c>
      <c r="B22" s="11">
        <f>SUMIFS(Info!G:G,Info!D:D,$B$2,Info!E:E,A22,Info!B:B,$B$4,Info!C:C,$B$3)</f>
        <v>0</v>
      </c>
      <c r="C22" s="11">
        <f>SUMIFS(Info!F:F,Info!D:D,$B$2,Info!E:E,A22,Info!B:B,$B$4,Info!C:C,$B$3)</f>
        <v>0</v>
      </c>
      <c r="D22" s="11">
        <f t="shared" si="1"/>
        <v>0</v>
      </c>
      <c r="E22" s="12" t="str">
        <f t="shared" si="0"/>
        <v/>
      </c>
      <c r="I22" s="6"/>
    </row>
    <row r="23" spans="1:9" x14ac:dyDescent="0.3">
      <c r="A23" s="10">
        <v>18</v>
      </c>
      <c r="B23" s="11">
        <f>SUMIFS(Info!G:G,Info!D:D,$B$2,Info!E:E,A23,Info!B:B,$B$4,Info!C:C,$B$3)</f>
        <v>0</v>
      </c>
      <c r="C23" s="11">
        <f>SUMIFS(Info!F:F,Info!D:D,$B$2,Info!E:E,A23,Info!B:B,$B$4,Info!C:C,$B$3)</f>
        <v>0</v>
      </c>
      <c r="D23" s="11">
        <f t="shared" si="1"/>
        <v>0</v>
      </c>
      <c r="E23" s="12" t="str">
        <f t="shared" si="0"/>
        <v/>
      </c>
      <c r="I23" s="6"/>
    </row>
    <row r="24" spans="1:9" x14ac:dyDescent="0.3">
      <c r="A24" s="10">
        <v>19</v>
      </c>
      <c r="B24" s="11">
        <f>SUMIFS(Info!G:G,Info!D:D,$B$2,Info!E:E,A24,Info!B:B,$B$4,Info!C:C,$B$3)</f>
        <v>0</v>
      </c>
      <c r="C24" s="11">
        <f>SUMIFS(Info!F:F,Info!D:D,$B$2,Info!E:E,A24,Info!B:B,$B$4,Info!C:C,$B$3)</f>
        <v>0</v>
      </c>
      <c r="D24" s="11">
        <f t="shared" si="1"/>
        <v>0</v>
      </c>
      <c r="E24" s="12" t="str">
        <f t="shared" si="0"/>
        <v/>
      </c>
      <c r="I24" s="6"/>
    </row>
    <row r="25" spans="1:9" x14ac:dyDescent="0.3">
      <c r="A25" s="10">
        <v>20</v>
      </c>
      <c r="B25" s="11">
        <f>SUMIFS(Info!G:G,Info!D:D,$B$2,Info!E:E,A25,Info!B:B,$B$4,Info!C:C,$B$3)</f>
        <v>0</v>
      </c>
      <c r="C25" s="11">
        <f>SUMIFS(Info!F:F,Info!D:D,$B$2,Info!E:E,A25,Info!B:B,$B$4,Info!C:C,$B$3)</f>
        <v>0</v>
      </c>
      <c r="D25" s="11">
        <f t="shared" si="1"/>
        <v>0</v>
      </c>
      <c r="E25" s="12" t="str">
        <f t="shared" si="0"/>
        <v/>
      </c>
      <c r="I25" s="6"/>
    </row>
    <row r="26" spans="1:9" x14ac:dyDescent="0.3">
      <c r="A26" s="10">
        <v>21</v>
      </c>
      <c r="B26" s="11">
        <f>SUMIFS(Info!G:G,Info!D:D,$B$2,Info!E:E,A26,Info!B:B,$B$4,Info!C:C,$B$3)</f>
        <v>0</v>
      </c>
      <c r="C26" s="11">
        <f>SUMIFS(Info!F:F,Info!D:D,$B$2,Info!E:E,A26,Info!B:B,$B$4,Info!C:C,$B$3)</f>
        <v>0</v>
      </c>
      <c r="D26" s="11">
        <f t="shared" si="1"/>
        <v>0</v>
      </c>
      <c r="E26" s="12" t="str">
        <f t="shared" si="0"/>
        <v/>
      </c>
      <c r="I26" s="6"/>
    </row>
    <row r="27" spans="1:9" x14ac:dyDescent="0.3">
      <c r="A27" s="10">
        <v>22</v>
      </c>
      <c r="B27" s="11">
        <f>SUMIFS(Info!G:G,Info!D:D,$B$2,Info!E:E,A27,Info!B:B,$B$4,Info!C:C,$B$3)</f>
        <v>0</v>
      </c>
      <c r="C27" s="11">
        <f>SUMIFS(Info!F:F,Info!D:D,$B$2,Info!E:E,A27,Info!B:B,$B$4,Info!C:C,$B$3)</f>
        <v>0</v>
      </c>
      <c r="D27" s="11">
        <f t="shared" si="1"/>
        <v>0</v>
      </c>
      <c r="E27" s="12" t="str">
        <f t="shared" si="0"/>
        <v/>
      </c>
      <c r="I27" s="6"/>
    </row>
    <row r="28" spans="1:9" x14ac:dyDescent="0.3">
      <c r="A28" s="10">
        <v>23</v>
      </c>
      <c r="B28" s="11">
        <f>SUMIFS(Info!G:G,Info!D:D,$B$2,Info!E:E,A28,Info!B:B,$B$4,Info!C:C,$B$3)</f>
        <v>0</v>
      </c>
      <c r="C28" s="11">
        <f>SUMIFS(Info!F:F,Info!D:D,$B$2,Info!E:E,A28,Info!B:B,$B$4,Info!C:C,$B$3)</f>
        <v>0</v>
      </c>
      <c r="D28" s="11">
        <f t="shared" si="1"/>
        <v>0</v>
      </c>
      <c r="E28" s="12" t="str">
        <f t="shared" si="0"/>
        <v/>
      </c>
      <c r="I28" s="6"/>
    </row>
    <row r="29" spans="1:9" x14ac:dyDescent="0.3">
      <c r="A29" s="22">
        <v>99</v>
      </c>
      <c r="B29" s="11">
        <f>SUMIFS(Info!G:G,Info!D:D,$B$2,Info!E:E,A29,Info!B:B,$B$4,Info!C:C,$B$3)</f>
        <v>5</v>
      </c>
      <c r="C29" s="11">
        <f>SUMIFS(Info!F:F,Info!D:D,$B$2,Info!E:E,A29,Info!B:B,$B$4,Info!C:C,$B$3)</f>
        <v>0</v>
      </c>
      <c r="D29" s="11">
        <f t="shared" si="1"/>
        <v>5</v>
      </c>
      <c r="E29" s="12">
        <f t="shared" si="0"/>
        <v>1</v>
      </c>
      <c r="I29" s="6"/>
    </row>
    <row r="30" spans="1:9" x14ac:dyDescent="0.3">
      <c r="A30" s="13" t="s">
        <v>7</v>
      </c>
      <c r="B30" s="14">
        <f>SUM(B6:B29)</f>
        <v>896</v>
      </c>
      <c r="C30" s="14">
        <f>SUM(C6:C29)</f>
        <v>85</v>
      </c>
      <c r="D30" s="14">
        <f>SUM(D6:D29)</f>
        <v>811</v>
      </c>
      <c r="E30" s="15">
        <f>IFERROR(D30/B30,"")</f>
        <v>0.9051339285714286</v>
      </c>
      <c r="I30" s="6"/>
    </row>
    <row r="31" spans="1:9" x14ac:dyDescent="0.3">
      <c r="I31" s="6"/>
    </row>
    <row r="32" spans="1:9" x14ac:dyDescent="0.3">
      <c r="I32" s="6"/>
    </row>
    <row r="33" spans="9:9" x14ac:dyDescent="0.3">
      <c r="I33" s="6"/>
    </row>
    <row r="34" spans="9:9" x14ac:dyDescent="0.3">
      <c r="I34" s="6"/>
    </row>
    <row r="35" spans="9:9" x14ac:dyDescent="0.3">
      <c r="I35" s="6"/>
    </row>
    <row r="36" spans="9:9" x14ac:dyDescent="0.3">
      <c r="I36" s="6"/>
    </row>
    <row r="37" spans="9:9" x14ac:dyDescent="0.3">
      <c r="I37" s="6"/>
    </row>
  </sheetData>
  <mergeCells count="1">
    <mergeCell ref="A1:E1"/>
  </mergeCells>
  <conditionalFormatting sqref="E6:E29">
    <cfRule type="dataBar" priority="1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{23F61135-09B5-48B1-A759-9C94BDE92F06}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F61135-09B5-48B1-A759-9C94BDE92F06}">
            <x14:dataBar minLength="0" maxLength="100" border="1">
              <x14:cfvo type="min"/>
              <x14:cfvo type="max"/>
              <x14:borderColor theme="4" tint="0.39997558519241921"/>
              <x14:negativeFillColor rgb="FFFF0000"/>
              <x14:axisColor rgb="FF000000"/>
            </x14:dataBar>
          </x14:cfRule>
          <xm:sqref>E6:E29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22"/>
  <sheetViews>
    <sheetView showGridLines="0" workbookViewId="0">
      <selection activeCell="E5" sqref="E5"/>
    </sheetView>
  </sheetViews>
  <sheetFormatPr defaultColWidth="11.42578125" defaultRowHeight="16.5" x14ac:dyDescent="0.3"/>
  <cols>
    <col min="1" max="1" width="2.140625" style="8" customWidth="1"/>
    <col min="2" max="5" width="15.7109375" style="8" customWidth="1"/>
    <col min="6" max="6" width="16" style="8" customWidth="1"/>
    <col min="7" max="16384" width="11.42578125" style="8"/>
  </cols>
  <sheetData>
    <row r="1" spans="2:6" ht="17.25" x14ac:dyDescent="0.3">
      <c r="B1" s="24" t="s">
        <v>18</v>
      </c>
      <c r="C1" s="24"/>
      <c r="D1" s="24"/>
      <c r="E1" s="24"/>
      <c r="F1" s="24"/>
    </row>
    <row r="3" spans="2:6" s="9" customFormat="1" ht="35.1" customHeight="1" x14ac:dyDescent="0.3">
      <c r="B3" s="16" t="s">
        <v>19</v>
      </c>
      <c r="C3" s="16" t="s">
        <v>20</v>
      </c>
      <c r="D3" s="16" t="s">
        <v>21</v>
      </c>
      <c r="E3" s="16" t="s">
        <v>22</v>
      </c>
      <c r="F3" s="16" t="s">
        <v>23</v>
      </c>
    </row>
    <row r="4" spans="2:6" x14ac:dyDescent="0.3">
      <c r="B4" s="17">
        <v>1</v>
      </c>
      <c r="C4" s="18">
        <f>IF(SUMIFS(Info!G:G,Info!B:B,SECTOR!$B$4,Info!C:C,CONSOLIDADO!$B4,Info!D:D,SECTOR!$B$2)=0,"",SUMIFS(Info!G:G,Info!B:B,SECTOR!$B$4,Info!C:C,CONSOLIDADO!$B4,Info!D:D,SECTOR!$B$2))</f>
        <v>956</v>
      </c>
      <c r="D4" s="18">
        <f>IF(SUMIFS(Info!F:F,Info!B:B,SECTOR!$B$4,Info!C:C,CONSOLIDADO!$B4,Info!D:D,SECTOR!$B$2)=0,"",SUMIFS(Info!F:F,Info!B:B,SECTOR!$B$4,Info!C:C,CONSOLIDADO!$B4,Info!D:D,SECTOR!$B$2))</f>
        <v>6</v>
      </c>
      <c r="E4" s="18">
        <f>IFERROR(C4-D4,"")</f>
        <v>950</v>
      </c>
      <c r="F4" s="19">
        <f>IFERROR(E4/C4,"")</f>
        <v>0.99372384937238489</v>
      </c>
    </row>
    <row r="5" spans="2:6" x14ac:dyDescent="0.3">
      <c r="B5" s="17">
        <f>+B4+1</f>
        <v>2</v>
      </c>
      <c r="C5" s="18">
        <f>IF(SUMIFS(Info!G:G,Info!B:B,SECTOR!$B$4,Info!C:C,CONSOLIDADO!$B5,Info!D:D,SECTOR!$B$2)=0,"",SUMIFS(Info!G:G,Info!B:B,SECTOR!$B$4,Info!C:C,CONSOLIDADO!$B5,Info!D:D,SECTOR!$B$2))</f>
        <v>896</v>
      </c>
      <c r="D5" s="18">
        <f>IF(SUMIFS(Info!F:F,Info!B:B,SECTOR!$B$4,Info!C:C,CONSOLIDADO!$B5,Info!D:D,SECTOR!$B$2)=0,"",SUMIFS(Info!F:F,Info!B:B,SECTOR!$B$4,Info!C:C,CONSOLIDADO!$B5,Info!D:D,SECTOR!$B$2))</f>
        <v>85</v>
      </c>
      <c r="E5" s="18">
        <f>IFERROR(C5-D5,"")</f>
        <v>811</v>
      </c>
      <c r="F5" s="19">
        <f t="shared" ref="F5:F22" si="0">IFERROR(E5/C5,"")</f>
        <v>0.9051339285714286</v>
      </c>
    </row>
    <row r="6" spans="2:6" x14ac:dyDescent="0.3">
      <c r="B6" s="17">
        <f t="shared" ref="B6:B22" si="1">+B5+1</f>
        <v>3</v>
      </c>
      <c r="C6" s="18">
        <f>IF(SUMIFS(Info!G:G,Info!B:B,SECTOR!$B$4,Info!C:C,CONSOLIDADO!$B6,Info!D:D,SECTOR!$B$2)=0,"",SUMIFS(Info!G:G,Info!B:B,SECTOR!$B$4,Info!C:C,CONSOLIDADO!$B6,Info!D:D,SECTOR!$B$2))</f>
        <v>911</v>
      </c>
      <c r="D6" s="18">
        <f>IF(SUMIFS(Info!F:F,Info!B:B,SECTOR!$B$4,Info!C:C,CONSOLIDADO!$B6,Info!D:D,SECTOR!$B$2)=0,"",SUMIFS(Info!F:F,Info!B:B,SECTOR!$B$4,Info!C:C,CONSOLIDADO!$B6,Info!D:D,SECTOR!$B$2))</f>
        <v>1</v>
      </c>
      <c r="E6" s="18">
        <f t="shared" ref="E6:E22" si="2">IFERROR(C6-D6,"")</f>
        <v>910</v>
      </c>
      <c r="F6" s="19">
        <f t="shared" si="0"/>
        <v>0.99890230515916578</v>
      </c>
    </row>
    <row r="7" spans="2:6" x14ac:dyDescent="0.3">
      <c r="B7" s="17">
        <f t="shared" si="1"/>
        <v>4</v>
      </c>
      <c r="C7" s="18" t="str">
        <f>IF(SUMIFS(Info!G:G,Info!B:B,SECTOR!$B$4,Info!C:C,CONSOLIDADO!$B7,Info!D:D,SECTOR!$B$2)=0,"",SUMIFS(Info!G:G,Info!B:B,SECTOR!$B$4,Info!C:C,CONSOLIDADO!$B7,Info!D:D,SECTOR!$B$2))</f>
        <v/>
      </c>
      <c r="D7" s="18" t="str">
        <f>IF(SUMIFS(Info!F:F,Info!B:B,SECTOR!$B$4,Info!C:C,CONSOLIDADO!$B7,Info!D:D,SECTOR!$B$2)=0,"",SUMIFS(Info!F:F,Info!B:B,SECTOR!$B$4,Info!C:C,CONSOLIDADO!$B7,Info!D:D,SECTOR!$B$2))</f>
        <v/>
      </c>
      <c r="E7" s="18" t="str">
        <f t="shared" si="2"/>
        <v/>
      </c>
      <c r="F7" s="19" t="str">
        <f t="shared" si="0"/>
        <v/>
      </c>
    </row>
    <row r="8" spans="2:6" x14ac:dyDescent="0.3">
      <c r="B8" s="17">
        <f t="shared" si="1"/>
        <v>5</v>
      </c>
      <c r="C8" s="18" t="str">
        <f>IF(SUMIFS(Info!G:G,Info!B:B,SECTOR!$B$4,Info!C:C,CONSOLIDADO!$B8,Info!D:D,SECTOR!$B$2)=0,"",SUMIFS(Info!G:G,Info!B:B,SECTOR!$B$4,Info!C:C,CONSOLIDADO!$B8,Info!D:D,SECTOR!$B$2))</f>
        <v/>
      </c>
      <c r="D8" s="18" t="str">
        <f>IF(SUMIFS(Info!F:F,Info!B:B,SECTOR!$B$4,Info!C:C,CONSOLIDADO!$B8,Info!D:D,SECTOR!$B$2)=0,"",SUMIFS(Info!F:F,Info!B:B,SECTOR!$B$4,Info!C:C,CONSOLIDADO!$B8,Info!D:D,SECTOR!$B$2))</f>
        <v/>
      </c>
      <c r="E8" s="18" t="str">
        <f t="shared" si="2"/>
        <v/>
      </c>
      <c r="F8" s="19" t="str">
        <f t="shared" si="0"/>
        <v/>
      </c>
    </row>
    <row r="9" spans="2:6" x14ac:dyDescent="0.3">
      <c r="B9" s="17">
        <f t="shared" si="1"/>
        <v>6</v>
      </c>
      <c r="C9" s="18" t="str">
        <f>IF(SUMIFS(Info!G:G,Info!B:B,SECTOR!$B$4,Info!C:C,CONSOLIDADO!$B9,Info!D:D,SECTOR!$B$2)=0,"",SUMIFS(Info!G:G,Info!B:B,SECTOR!$B$4,Info!C:C,CONSOLIDADO!$B9,Info!D:D,SECTOR!$B$2))</f>
        <v/>
      </c>
      <c r="D9" s="18" t="str">
        <f>IF(SUMIFS(Info!F:F,Info!B:B,SECTOR!$B$4,Info!C:C,CONSOLIDADO!$B9,Info!D:D,SECTOR!$B$2)=0,"",SUMIFS(Info!F:F,Info!B:B,SECTOR!$B$4,Info!C:C,CONSOLIDADO!$B9,Info!D:D,SECTOR!$B$2))</f>
        <v/>
      </c>
      <c r="E9" s="18" t="str">
        <f t="shared" si="2"/>
        <v/>
      </c>
      <c r="F9" s="19" t="str">
        <f t="shared" si="0"/>
        <v/>
      </c>
    </row>
    <row r="10" spans="2:6" x14ac:dyDescent="0.3">
      <c r="B10" s="17">
        <f t="shared" si="1"/>
        <v>7</v>
      </c>
      <c r="C10" s="18" t="str">
        <f>IF(SUMIFS(Info!G:G,Info!B:B,SECTOR!$B$4,Info!C:C,CONSOLIDADO!$B10,Info!D:D,SECTOR!$B$2)=0,"",SUMIFS(Info!G:G,Info!B:B,SECTOR!$B$4,Info!C:C,CONSOLIDADO!$B10,Info!D:D,SECTOR!$B$2))</f>
        <v/>
      </c>
      <c r="D10" s="18" t="str">
        <f>IF(SUMIFS(Info!F:F,Info!B:B,SECTOR!$B$4,Info!C:C,CONSOLIDADO!$B10,Info!D:D,SECTOR!$B$2)=0,"",SUMIFS(Info!F:F,Info!B:B,SECTOR!$B$4,Info!C:C,CONSOLIDADO!$B10,Info!D:D,SECTOR!$B$2))</f>
        <v/>
      </c>
      <c r="E10" s="18" t="str">
        <f t="shared" si="2"/>
        <v/>
      </c>
      <c r="F10" s="19" t="str">
        <f t="shared" si="0"/>
        <v/>
      </c>
    </row>
    <row r="11" spans="2:6" x14ac:dyDescent="0.3">
      <c r="B11" s="17">
        <f t="shared" si="1"/>
        <v>8</v>
      </c>
      <c r="C11" s="18" t="str">
        <f>IF(SUMIFS(Info!G:G,Info!B:B,SECTOR!$B$4,Info!C:C,CONSOLIDADO!$B11,Info!D:D,SECTOR!$B$2)=0,"",SUMIFS(Info!G:G,Info!B:B,SECTOR!$B$4,Info!C:C,CONSOLIDADO!$B11,Info!D:D,SECTOR!$B$2))</f>
        <v/>
      </c>
      <c r="D11" s="18" t="str">
        <f>IF(SUMIFS(Info!F:F,Info!B:B,SECTOR!$B$4,Info!C:C,CONSOLIDADO!$B11,Info!D:D,SECTOR!$B$2)=0,"",SUMIFS(Info!F:F,Info!B:B,SECTOR!$B$4,Info!C:C,CONSOLIDADO!$B11,Info!D:D,SECTOR!$B$2))</f>
        <v/>
      </c>
      <c r="E11" s="18" t="str">
        <f t="shared" si="2"/>
        <v/>
      </c>
      <c r="F11" s="19" t="str">
        <f t="shared" si="0"/>
        <v/>
      </c>
    </row>
    <row r="12" spans="2:6" x14ac:dyDescent="0.3">
      <c r="B12" s="17">
        <f t="shared" si="1"/>
        <v>9</v>
      </c>
      <c r="C12" s="18" t="str">
        <f>IF(SUMIFS(Info!G:G,Info!B:B,SECTOR!$B$4,Info!C:C,CONSOLIDADO!$B12,Info!D:D,SECTOR!$B$2)=0,"",SUMIFS(Info!G:G,Info!B:B,SECTOR!$B$4,Info!C:C,CONSOLIDADO!$B12,Info!D:D,SECTOR!$B$2))</f>
        <v/>
      </c>
      <c r="D12" s="18" t="str">
        <f>IF(SUMIFS(Info!F:F,Info!B:B,SECTOR!$B$4,Info!C:C,CONSOLIDADO!$B12,Info!D:D,SECTOR!$B$2)=0,"",SUMIFS(Info!F:F,Info!B:B,SECTOR!$B$4,Info!C:C,CONSOLIDADO!$B12,Info!D:D,SECTOR!$B$2))</f>
        <v/>
      </c>
      <c r="E12" s="18" t="str">
        <f t="shared" si="2"/>
        <v/>
      </c>
      <c r="F12" s="19" t="str">
        <f t="shared" si="0"/>
        <v/>
      </c>
    </row>
    <row r="13" spans="2:6" x14ac:dyDescent="0.3">
      <c r="B13" s="17">
        <f t="shared" si="1"/>
        <v>10</v>
      </c>
      <c r="C13" s="18" t="str">
        <f>IF(SUMIFS(Info!G:G,Info!B:B,SECTOR!$B$4,Info!C:C,CONSOLIDADO!$B13,Info!D:D,SECTOR!$B$2)=0,"",SUMIFS(Info!G:G,Info!B:B,SECTOR!$B$4,Info!C:C,CONSOLIDADO!$B13,Info!D:D,SECTOR!$B$2))</f>
        <v/>
      </c>
      <c r="D13" s="18" t="str">
        <f>IF(SUMIFS(Info!F:F,Info!B:B,SECTOR!$B$4,Info!C:C,CONSOLIDADO!$B13,Info!D:D,SECTOR!$B$2)=0,"",SUMIFS(Info!F:F,Info!B:B,SECTOR!$B$4,Info!C:C,CONSOLIDADO!$B13,Info!D:D,SECTOR!$B$2))</f>
        <v/>
      </c>
      <c r="E13" s="18" t="str">
        <f t="shared" si="2"/>
        <v/>
      </c>
      <c r="F13" s="19" t="str">
        <f t="shared" si="0"/>
        <v/>
      </c>
    </row>
    <row r="14" spans="2:6" x14ac:dyDescent="0.3">
      <c r="B14" s="17">
        <f t="shared" si="1"/>
        <v>11</v>
      </c>
      <c r="C14" s="18" t="str">
        <f>IF(SUMIFS(Info!G:G,Info!B:B,SECTOR!$B$4,Info!C:C,CONSOLIDADO!$B14,Info!D:D,SECTOR!$B$2)=0,"",SUMIFS(Info!G:G,Info!B:B,SECTOR!$B$4,Info!C:C,CONSOLIDADO!$B14,Info!D:D,SECTOR!$B$2))</f>
        <v/>
      </c>
      <c r="D14" s="18" t="str">
        <f>IF(SUMIFS(Info!F:F,Info!B:B,SECTOR!$B$4,Info!C:C,CONSOLIDADO!$B14,Info!D:D,SECTOR!$B$2)=0,"",SUMIFS(Info!F:F,Info!B:B,SECTOR!$B$4,Info!C:C,CONSOLIDADO!$B14,Info!D:D,SECTOR!$B$2))</f>
        <v/>
      </c>
      <c r="E14" s="18" t="str">
        <f t="shared" si="2"/>
        <v/>
      </c>
      <c r="F14" s="19" t="str">
        <f t="shared" si="0"/>
        <v/>
      </c>
    </row>
    <row r="15" spans="2:6" x14ac:dyDescent="0.3">
      <c r="B15" s="17">
        <f t="shared" si="1"/>
        <v>12</v>
      </c>
      <c r="C15" s="18" t="str">
        <f>IF(SUMIFS(Info!G:G,Info!B:B,SECTOR!$B$4,Info!C:C,CONSOLIDADO!$B15,Info!D:D,SECTOR!$B$2)=0,"",SUMIFS(Info!G:G,Info!B:B,SECTOR!$B$4,Info!C:C,CONSOLIDADO!$B15,Info!D:D,SECTOR!$B$2))</f>
        <v/>
      </c>
      <c r="D15" s="18" t="str">
        <f>IF(SUMIFS(Info!F:F,Info!B:B,SECTOR!$B$4,Info!C:C,CONSOLIDADO!$B15,Info!D:D,SECTOR!$B$2)=0,"",SUMIFS(Info!F:F,Info!B:B,SECTOR!$B$4,Info!C:C,CONSOLIDADO!$B15,Info!D:D,SECTOR!$B$2))</f>
        <v/>
      </c>
      <c r="E15" s="18" t="str">
        <f t="shared" si="2"/>
        <v/>
      </c>
      <c r="F15" s="19" t="str">
        <f t="shared" si="0"/>
        <v/>
      </c>
    </row>
    <row r="16" spans="2:6" x14ac:dyDescent="0.3">
      <c r="B16" s="17">
        <f t="shared" si="1"/>
        <v>13</v>
      </c>
      <c r="C16" s="18" t="str">
        <f>IF(SUMIFS(Info!G:G,Info!B:B,SECTOR!$B$4,Info!C:C,CONSOLIDADO!$B16,Info!D:D,SECTOR!$B$2)=0,"",SUMIFS(Info!G:G,Info!B:B,SECTOR!$B$4,Info!C:C,CONSOLIDADO!$B16,Info!D:D,SECTOR!$B$2))</f>
        <v/>
      </c>
      <c r="D16" s="18" t="str">
        <f>IF(SUMIFS(Info!F:F,Info!B:B,SECTOR!$B$4,Info!C:C,CONSOLIDADO!$B16,Info!D:D,SECTOR!$B$2)=0,"",SUMIFS(Info!F:F,Info!B:B,SECTOR!$B$4,Info!C:C,CONSOLIDADO!$B16,Info!D:D,SECTOR!$B$2))</f>
        <v/>
      </c>
      <c r="E16" s="18" t="str">
        <f t="shared" si="2"/>
        <v/>
      </c>
      <c r="F16" s="19" t="str">
        <f t="shared" si="0"/>
        <v/>
      </c>
    </row>
    <row r="17" spans="2:6" x14ac:dyDescent="0.3">
      <c r="B17" s="17">
        <f t="shared" si="1"/>
        <v>14</v>
      </c>
      <c r="C17" s="18" t="str">
        <f>IF(SUMIFS(Info!G:G,Info!B:B,SECTOR!$B$4,Info!C:C,CONSOLIDADO!$B17,Info!D:D,SECTOR!$B$2)=0,"",SUMIFS(Info!G:G,Info!B:B,SECTOR!$B$4,Info!C:C,CONSOLIDADO!$B17,Info!D:D,SECTOR!$B$2))</f>
        <v/>
      </c>
      <c r="D17" s="18" t="str">
        <f>IF(SUMIFS(Info!F:F,Info!B:B,SECTOR!$B$4,Info!C:C,CONSOLIDADO!$B17,Info!D:D,SECTOR!$B$2)=0,"",SUMIFS(Info!F:F,Info!B:B,SECTOR!$B$4,Info!C:C,CONSOLIDADO!$B17,Info!D:D,SECTOR!$B$2))</f>
        <v/>
      </c>
      <c r="E17" s="18" t="str">
        <f t="shared" si="2"/>
        <v/>
      </c>
      <c r="F17" s="19" t="str">
        <f t="shared" si="0"/>
        <v/>
      </c>
    </row>
    <row r="18" spans="2:6" x14ac:dyDescent="0.3">
      <c r="B18" s="17">
        <f t="shared" si="1"/>
        <v>15</v>
      </c>
      <c r="C18" s="18" t="str">
        <f>IF(SUMIFS(Info!G:G,Info!B:B,SECTOR!$B$4,Info!C:C,CONSOLIDADO!$B18,Info!D:D,SECTOR!$B$2)=0,"",SUMIFS(Info!G:G,Info!B:B,SECTOR!$B$4,Info!C:C,CONSOLIDADO!$B18,Info!D:D,SECTOR!$B$2))</f>
        <v/>
      </c>
      <c r="D18" s="18" t="str">
        <f>IF(SUMIFS(Info!F:F,Info!B:B,SECTOR!$B$4,Info!C:C,CONSOLIDADO!$B18,Info!D:D,SECTOR!$B$2)=0,"",SUMIFS(Info!F:F,Info!B:B,SECTOR!$B$4,Info!C:C,CONSOLIDADO!$B18,Info!D:D,SECTOR!$B$2))</f>
        <v/>
      </c>
      <c r="E18" s="18" t="str">
        <f t="shared" si="2"/>
        <v/>
      </c>
      <c r="F18" s="19" t="str">
        <f t="shared" si="0"/>
        <v/>
      </c>
    </row>
    <row r="19" spans="2:6" x14ac:dyDescent="0.3">
      <c r="B19" s="17">
        <f t="shared" si="1"/>
        <v>16</v>
      </c>
      <c r="C19" s="18" t="str">
        <f>IF(SUMIFS(Info!G:G,Info!B:B,SECTOR!$B$4,Info!C:C,CONSOLIDADO!$B19,Info!D:D,SECTOR!$B$2)=0,"",SUMIFS(Info!G:G,Info!B:B,SECTOR!$B$4,Info!C:C,CONSOLIDADO!$B19,Info!D:D,SECTOR!$B$2))</f>
        <v/>
      </c>
      <c r="D19" s="18" t="str">
        <f>IF(SUMIFS(Info!F:F,Info!B:B,SECTOR!$B$4,Info!C:C,CONSOLIDADO!$B19,Info!D:D,SECTOR!$B$2)=0,"",SUMIFS(Info!F:F,Info!B:B,SECTOR!$B$4,Info!C:C,CONSOLIDADO!$B19,Info!D:D,SECTOR!$B$2))</f>
        <v/>
      </c>
      <c r="E19" s="18" t="str">
        <f t="shared" si="2"/>
        <v/>
      </c>
      <c r="F19" s="19" t="str">
        <f t="shared" si="0"/>
        <v/>
      </c>
    </row>
    <row r="20" spans="2:6" x14ac:dyDescent="0.3">
      <c r="B20" s="17">
        <f t="shared" si="1"/>
        <v>17</v>
      </c>
      <c r="C20" s="18" t="str">
        <f>IF(SUMIFS(Info!G:G,Info!B:B,SECTOR!$B$4,Info!C:C,CONSOLIDADO!$B20,Info!D:D,SECTOR!$B$2)=0,"",SUMIFS(Info!G:G,Info!B:B,SECTOR!$B$4,Info!C:C,CONSOLIDADO!$B20,Info!D:D,SECTOR!$B$2))</f>
        <v/>
      </c>
      <c r="D20" s="18" t="str">
        <f>IF(SUMIFS(Info!F:F,Info!B:B,SECTOR!$B$4,Info!C:C,CONSOLIDADO!$B20,Info!D:D,SECTOR!$B$2)=0,"",SUMIFS(Info!F:F,Info!B:B,SECTOR!$B$4,Info!C:C,CONSOLIDADO!$B20,Info!D:D,SECTOR!$B$2))</f>
        <v/>
      </c>
      <c r="E20" s="18" t="str">
        <f t="shared" si="2"/>
        <v/>
      </c>
      <c r="F20" s="19" t="str">
        <f t="shared" si="0"/>
        <v/>
      </c>
    </row>
    <row r="21" spans="2:6" x14ac:dyDescent="0.3">
      <c r="B21" s="17">
        <f t="shared" si="1"/>
        <v>18</v>
      </c>
      <c r="C21" s="18" t="str">
        <f>IF(SUMIFS(Info!G:G,Info!B:B,SECTOR!$B$4,Info!C:C,CONSOLIDADO!$B21,Info!D:D,SECTOR!$B$2)=0,"",SUMIFS(Info!G:G,Info!B:B,SECTOR!$B$4,Info!C:C,CONSOLIDADO!$B21,Info!D:D,SECTOR!$B$2))</f>
        <v/>
      </c>
      <c r="D21" s="18" t="str">
        <f>IF(SUMIFS(Info!F:F,Info!B:B,SECTOR!$B$4,Info!C:C,CONSOLIDADO!$B21,Info!D:D,SECTOR!$B$2)=0,"",SUMIFS(Info!F:F,Info!B:B,SECTOR!$B$4,Info!C:C,CONSOLIDADO!$B21,Info!D:D,SECTOR!$B$2))</f>
        <v/>
      </c>
      <c r="E21" s="18" t="str">
        <f t="shared" si="2"/>
        <v/>
      </c>
      <c r="F21" s="19" t="str">
        <f t="shared" si="0"/>
        <v/>
      </c>
    </row>
    <row r="22" spans="2:6" x14ac:dyDescent="0.3">
      <c r="B22" s="17">
        <f t="shared" si="1"/>
        <v>19</v>
      </c>
      <c r="C22" s="18" t="str">
        <f>IF(SUMIFS(Info!G:G,Info!B:B,SECTOR!$B$4,Info!C:C,CONSOLIDADO!$B22,Info!D:D,SECTOR!$B$2)=0,"",SUMIFS(Info!G:G,Info!B:B,SECTOR!$B$4,Info!C:C,CONSOLIDADO!$B22,Info!D:D,SECTOR!$B$2))</f>
        <v/>
      </c>
      <c r="D22" s="18" t="str">
        <f>IF(SUMIFS(Info!F:F,Info!B:B,SECTOR!$B$4,Info!C:C,CONSOLIDADO!$B22,Info!D:D,SECTOR!$B$2)=0,"",SUMIFS(Info!F:F,Info!B:B,SECTOR!$B$4,Info!C:C,CONSOLIDADO!$B22,Info!D:D,SECTOR!$B$2))</f>
        <v/>
      </c>
      <c r="E22" s="18" t="str">
        <f t="shared" si="2"/>
        <v/>
      </c>
      <c r="F22" s="19" t="str">
        <f t="shared" si="0"/>
        <v/>
      </c>
    </row>
  </sheetData>
  <mergeCells count="1">
    <mergeCell ref="B1:F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Info</vt:lpstr>
      <vt:lpstr>query</vt:lpstr>
      <vt:lpstr>SECTOR</vt:lpstr>
      <vt:lpstr>CONSOLIDADO</vt:lpstr>
      <vt:lpstr>DIVISIONES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2015-04-06T01:23:52Z</dcterms:modified>
</cp:coreProperties>
</file>