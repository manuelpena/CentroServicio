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7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Info!$B$1:$L$11</definedName>
    <definedName name="_xlnm.Print_Area" localSheetId="2">REPORTE!$A$1:$L$40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7" l="1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8" i="7"/>
  <c r="H8" i="7"/>
  <c r="B1" i="2"/>
  <c r="A8" i="7" l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K8" i="7" l="1"/>
  <c r="G8" i="7"/>
  <c r="F8" i="7"/>
  <c r="E8" i="7"/>
  <c r="C8" i="7"/>
  <c r="D8" i="7"/>
  <c r="B8" i="7"/>
  <c r="B2" i="2" l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A6" i="1" l="1"/>
  <c r="B10" i="7"/>
  <c r="F10" i="7"/>
  <c r="H9" i="7"/>
  <c r="D12" i="7"/>
  <c r="E11" i="7"/>
  <c r="D9" i="7"/>
  <c r="C10" i="7"/>
  <c r="F12" i="7"/>
  <c r="H12" i="7"/>
  <c r="C9" i="7"/>
  <c r="B11" i="7"/>
  <c r="D10" i="7"/>
  <c r="E9" i="7"/>
  <c r="K11" i="7"/>
  <c r="B9" i="7"/>
  <c r="B12" i="7"/>
  <c r="H11" i="7"/>
  <c r="K9" i="7"/>
  <c r="E12" i="7"/>
  <c r="C11" i="7"/>
  <c r="F9" i="7"/>
  <c r="F11" i="7"/>
  <c r="G9" i="7"/>
  <c r="C12" i="7"/>
  <c r="H10" i="7"/>
  <c r="E10" i="7"/>
  <c r="G10" i="7"/>
  <c r="G12" i="7"/>
  <c r="G11" i="7"/>
  <c r="D11" i="7"/>
  <c r="K10" i="7"/>
  <c r="K12" i="7"/>
  <c r="A7" i="1" l="1"/>
  <c r="A8" i="1" l="1"/>
  <c r="B14" i="7"/>
  <c r="D14" i="7"/>
  <c r="B13" i="7"/>
  <c r="C14" i="7"/>
  <c r="E14" i="7"/>
  <c r="C13" i="7"/>
  <c r="F14" i="7"/>
  <c r="H14" i="7"/>
  <c r="K13" i="7"/>
  <c r="G14" i="7"/>
  <c r="D13" i="7"/>
  <c r="F13" i="7"/>
  <c r="H13" i="7"/>
  <c r="E13" i="7"/>
  <c r="G13" i="7"/>
  <c r="K14" i="7"/>
  <c r="A9" i="1" l="1"/>
  <c r="A10" i="1" l="1"/>
  <c r="C15" i="7"/>
  <c r="H15" i="7"/>
  <c r="E16" i="7"/>
  <c r="C16" i="7"/>
  <c r="D15" i="7"/>
  <c r="H16" i="7"/>
  <c r="E15" i="7"/>
  <c r="G16" i="7"/>
  <c r="B15" i="7"/>
  <c r="K16" i="7"/>
  <c r="D16" i="7"/>
  <c r="K15" i="7"/>
  <c r="B16" i="7"/>
  <c r="F16" i="7"/>
  <c r="F15" i="7"/>
  <c r="G15" i="7"/>
  <c r="A11" i="1" l="1"/>
  <c r="B21" i="7" s="1"/>
  <c r="C19" i="7"/>
  <c r="G25" i="7" l="1"/>
  <c r="K33" i="7"/>
  <c r="G35" i="7"/>
  <c r="C37" i="7"/>
  <c r="H21" i="7"/>
  <c r="K34" i="7"/>
  <c r="B37" i="7"/>
  <c r="F35" i="7"/>
  <c r="G27" i="7"/>
  <c r="E37" i="7"/>
  <c r="C29" i="7"/>
  <c r="E17" i="7"/>
  <c r="F26" i="7"/>
  <c r="H29" i="7"/>
  <c r="C36" i="7"/>
  <c r="K17" i="7"/>
  <c r="F19" i="7"/>
  <c r="B22" i="7"/>
  <c r="C20" i="7"/>
  <c r="G28" i="7"/>
  <c r="E31" i="7"/>
  <c r="C25" i="7"/>
  <c r="C24" i="7"/>
  <c r="E34" i="7"/>
  <c r="C28" i="7"/>
  <c r="F24" i="7"/>
  <c r="F30" i="7"/>
  <c r="H33" i="7"/>
  <c r="G36" i="7"/>
  <c r="D27" i="7"/>
  <c r="H34" i="7"/>
  <c r="H31" i="7"/>
  <c r="K19" i="7"/>
  <c r="K26" i="7"/>
  <c r="F21" i="7"/>
  <c r="C18" i="7"/>
  <c r="E22" i="7"/>
  <c r="E21" i="7"/>
  <c r="F22" i="7"/>
  <c r="G19" i="7"/>
  <c r="H32" i="7"/>
  <c r="C27" i="7"/>
  <c r="H17" i="7"/>
  <c r="E23" i="7"/>
  <c r="F18" i="7"/>
  <c r="B28" i="7"/>
  <c r="G33" i="7"/>
  <c r="K18" i="7"/>
  <c r="H23" i="7"/>
  <c r="E33" i="7"/>
  <c r="B34" i="7"/>
  <c r="E19" i="7"/>
  <c r="G23" i="7"/>
  <c r="E36" i="7"/>
  <c r="H35" i="7"/>
  <c r="D23" i="7"/>
  <c r="F20" i="7"/>
  <c r="H37" i="7"/>
  <c r="C32" i="7"/>
  <c r="D18" i="7"/>
  <c r="C34" i="7"/>
  <c r="B24" i="7"/>
  <c r="F23" i="7"/>
  <c r="G20" i="7"/>
  <c r="G29" i="7"/>
  <c r="K20" i="7"/>
  <c r="D32" i="7"/>
  <c r="D37" i="7"/>
  <c r="B35" i="7"/>
  <c r="F25" i="7"/>
  <c r="C31" i="7"/>
  <c r="D17" i="7"/>
  <c r="K22" i="7"/>
  <c r="F32" i="7"/>
  <c r="F27" i="7"/>
  <c r="D19" i="7"/>
  <c r="B33" i="7"/>
  <c r="C26" i="7"/>
  <c r="G31" i="7"/>
  <c r="D20" i="7"/>
  <c r="K24" i="7"/>
  <c r="C21" i="7"/>
  <c r="B27" i="7"/>
  <c r="K25" i="7"/>
  <c r="F33" i="7"/>
  <c r="B19" i="7"/>
  <c r="B23" i="7"/>
  <c r="B25" i="7"/>
  <c r="G32" i="7"/>
  <c r="E29" i="7"/>
  <c r="B32" i="7"/>
  <c r="G21" i="7"/>
  <c r="K28" i="7"/>
  <c r="B20" i="7"/>
  <c r="H26" i="7"/>
  <c r="H22" i="7"/>
  <c r="H18" i="7"/>
  <c r="D35" i="7"/>
  <c r="E35" i="7"/>
  <c r="F29" i="7"/>
  <c r="B36" i="7"/>
  <c r="B30" i="7"/>
  <c r="B29" i="7"/>
  <c r="D36" i="7"/>
  <c r="K31" i="7"/>
  <c r="D24" i="7"/>
  <c r="E32" i="7"/>
  <c r="B18" i="7"/>
  <c r="E27" i="7"/>
  <c r="K23" i="7"/>
  <c r="H20" i="7"/>
  <c r="H30" i="7"/>
  <c r="H24" i="7"/>
  <c r="G26" i="7"/>
  <c r="D34" i="7"/>
  <c r="C22" i="7"/>
  <c r="H25" i="7"/>
  <c r="E18" i="7"/>
  <c r="D28" i="7"/>
  <c r="G18" i="7"/>
  <c r="K32" i="7"/>
  <c r="D31" i="7"/>
  <c r="G34" i="7"/>
  <c r="D29" i="7"/>
  <c r="F31" i="7"/>
  <c r="D26" i="7"/>
  <c r="E24" i="7"/>
  <c r="C30" i="7"/>
  <c r="C23" i="7"/>
  <c r="D25" i="7"/>
  <c r="C33" i="7"/>
  <c r="F17" i="7"/>
  <c r="G37" i="7"/>
  <c r="G24" i="7"/>
  <c r="H27" i="7"/>
  <c r="E26" i="7"/>
  <c r="B17" i="7"/>
  <c r="K36" i="7"/>
  <c r="F34" i="7"/>
  <c r="E20" i="7"/>
  <c r="E25" i="7"/>
  <c r="E30" i="7"/>
  <c r="H36" i="7"/>
  <c r="F28" i="7"/>
  <c r="F37" i="7"/>
  <c r="G17" i="7"/>
  <c r="H19" i="7"/>
  <c r="C35" i="7"/>
  <c r="H28" i="7"/>
  <c r="F36" i="7"/>
  <c r="K29" i="7"/>
  <c r="B26" i="7"/>
  <c r="B31" i="7"/>
  <c r="G30" i="7"/>
  <c r="D21" i="7"/>
  <c r="E28" i="7"/>
  <c r="D30" i="7"/>
  <c r="D22" i="7"/>
  <c r="K35" i="7"/>
  <c r="K30" i="7"/>
  <c r="K21" i="7"/>
  <c r="G22" i="7"/>
  <c r="C17" i="7"/>
  <c r="K27" i="7"/>
  <c r="K37" i="7"/>
  <c r="D33" i="7"/>
  <c r="K4" i="7" l="1"/>
  <c r="E38" i="7"/>
  <c r="G38" i="7"/>
  <c r="K3" i="7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`zona`,_x000a_  a.`sector`,_x000a_  a.`codigo`,_x000a_  a.`nombres`,_x000a_  b.`cajas`,_x000a_ a.los,_x000a_  b.`cod`,_x000a_  b.`pod`,_x000a_  b.`comentarios`,_x000a_  b.`monto_facturado`,_x000a_b.razon_x000a_FROM_x000a_  consejeras a _x000a_   INNER JOIN pedidos b _x000a_    ON b.`codigo` = a.`codigo` WHERE b.`estado` = 3  AND b.`campania` =1 AND b.`anio` = 2015 AND a.zona = 201"/>
  </connection>
</connections>
</file>

<file path=xl/sharedStrings.xml><?xml version="1.0" encoding="utf-8"?>
<sst xmlns="http://schemas.openxmlformats.org/spreadsheetml/2006/main" count="108" uniqueCount="68">
  <si>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</si>
  <si>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</si>
  <si>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</si>
  <si>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</si>
  <si>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</si>
  <si>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</si>
  <si>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</si>
  <si>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</si>
  <si>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FECHA</t>
  </si>
  <si>
    <t>Nº</t>
  </si>
  <si>
    <t>NOMBRE CONSEJERA</t>
  </si>
  <si>
    <t>OBSERVACIONES</t>
  </si>
  <si>
    <t>COD</t>
  </si>
  <si>
    <t>POD</t>
  </si>
  <si>
    <t>TOTAL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</si>
  <si>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</si>
  <si>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</si>
  <si>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</si>
  <si>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</si>
  <si>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</si>
  <si>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</si>
  <si>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</si>
  <si>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</si>
  <si>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</si>
  <si>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CORRELATIVO</t>
  </si>
  <si>
    <t>monto_facturado</t>
  </si>
  <si>
    <t>RELACION DE PEDIDOS DESMANTELADOS</t>
  </si>
  <si>
    <t>CENTRO DE SERVICIO A&amp;S -  AVON</t>
  </si>
  <si>
    <t>PEDIDOS</t>
  </si>
  <si>
    <t>CAJAS</t>
  </si>
  <si>
    <t>SECTOR</t>
  </si>
  <si>
    <t>LOS</t>
  </si>
  <si>
    <t>MOTIVOS</t>
  </si>
  <si>
    <t>HECHO POR:</t>
  </si>
  <si>
    <t>REVISADO POR:</t>
  </si>
  <si>
    <t>RECIBIDO POR:</t>
  </si>
  <si>
    <t>los</t>
  </si>
  <si>
    <t>1</t>
  </si>
  <si>
    <t>razon</t>
  </si>
  <si>
    <t>Yetta</t>
  </si>
  <si>
    <t>Sophia</t>
  </si>
  <si>
    <t>Zia</t>
  </si>
  <si>
    <t>Kalia</t>
  </si>
  <si>
    <t>Dante</t>
  </si>
  <si>
    <t>Lydia</t>
  </si>
  <si>
    <t>Dahlia</t>
  </si>
  <si>
    <t>Zahir</t>
  </si>
  <si>
    <t>Ella</t>
  </si>
  <si>
    <t>Nissim</t>
  </si>
  <si>
    <t>Hanna</t>
  </si>
  <si>
    <t>Eliana</t>
  </si>
  <si>
    <t>Nicole</t>
  </si>
  <si>
    <t>Quincy</t>
  </si>
  <si>
    <t>Kimberley</t>
  </si>
  <si>
    <t>Hamish</t>
  </si>
  <si>
    <t>Marsden</t>
  </si>
  <si>
    <t>Regan</t>
  </si>
  <si>
    <t>Ulysses</t>
  </si>
  <si>
    <t>Carol</t>
  </si>
  <si>
    <t>Leah</t>
  </si>
  <si>
    <t>Oscar</t>
  </si>
  <si>
    <t>Michelle</t>
  </si>
  <si>
    <t>Gloria</t>
  </si>
  <si>
    <t>Clarke</t>
  </si>
  <si>
    <t>Luke</t>
  </si>
  <si>
    <t>Leslie</t>
  </si>
  <si>
    <t>Buckminster</t>
  </si>
  <si>
    <t>Blaine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</si>
</sst>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#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  <font>
      <sz val="16"/>
      <name val="Century Gothic"/>
      <family val="2"/>
    </font>
    <font>
      <b/>
      <sz val="12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/>
      <right/>
      <top/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7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22" fontId="0" fillId="0" borderId="0" xfId="0" applyNumberFormat="1"/>
    <xf numFmtId="0" fontId="8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3" fillId="2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Fill="1" applyBorder="1"/>
    <xf numFmtId="0" fontId="10" fillId="2" borderId="0" xfId="0" applyFont="1" applyFill="1" applyAlignment="1">
      <alignment horizontal="center"/>
    </xf>
    <xf numFmtId="0" fontId="3" fillId="0" borderId="0" xfId="0" applyFont="1" applyBorder="1"/>
    <xf numFmtId="0" fontId="11" fillId="0" borderId="0" xfId="0" applyFont="1" applyFill="1" applyBorder="1"/>
    <xf numFmtId="0" fontId="6" fillId="0" borderId="4" xfId="2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49" fontId="6" fillId="0" borderId="0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left" vertical="center"/>
    </xf>
    <xf numFmtId="0" fontId="6" fillId="0" borderId="0" xfId="2" applyFont="1" applyAlignment="1" applyProtection="1">
      <alignment horizontal="left" vertical="center"/>
    </xf>
    <xf numFmtId="0" fontId="6" fillId="0" borderId="0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/>
      <protection locked="0"/>
    </xf>
    <xf numFmtId="0" fontId="6" fillId="0" borderId="0" xfId="2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/>
    <xf numFmtId="0" fontId="10" fillId="2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44" fontId="6" fillId="3" borderId="4" xfId="1" applyFont="1" applyFill="1" applyBorder="1" applyAlignment="1" applyProtection="1">
      <alignment horizontal="center" vertical="center" wrapText="1"/>
      <protection locked="0"/>
    </xf>
    <xf numFmtId="0" fontId="12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13" fillId="0" borderId="4" xfId="2" applyFont="1" applyBorder="1" applyAlignment="1" applyProtection="1">
      <alignment horizontal="center" vertical="center"/>
      <protection locked="0"/>
    </xf>
    <xf numFmtId="49" fontId="13" fillId="0" borderId="4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4" xfId="2" applyFont="1" applyBorder="1" applyAlignment="1" applyProtection="1">
      <alignment horizontal="center" vertical="center"/>
      <protection locked="0"/>
    </xf>
    <xf numFmtId="0" fontId="6" fillId="3" borderId="4" xfId="2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/>
    </xf>
    <xf numFmtId="44" fontId="6" fillId="3" borderId="4" xfId="2" applyNumberFormat="1" applyFont="1" applyFill="1" applyBorder="1" applyAlignment="1" applyProtection="1">
      <alignment horizontal="center" vertical="center" wrapText="1"/>
    </xf>
    <xf numFmtId="0" fontId="6" fillId="3" borderId="4" xfId="2" applyFont="1" applyFill="1" applyBorder="1" applyAlignment="1" applyProtection="1">
      <alignment horizontal="center" vertical="center" wrapText="1"/>
      <protection locked="0"/>
    </xf>
    <xf numFmtId="0" fontId="6" fillId="3" borderId="5" xfId="2" applyFont="1" applyFill="1" applyBorder="1" applyAlignment="1" applyProtection="1">
      <alignment horizontal="center" vertical="center" wrapText="1"/>
    </xf>
    <xf numFmtId="0" fontId="6" fillId="3" borderId="6" xfId="2" applyFont="1" applyFill="1" applyBorder="1" applyAlignment="1" applyProtection="1">
      <alignment horizontal="center" vertical="center" wrapText="1"/>
    </xf>
    <xf numFmtId="0" fontId="6" fillId="3" borderId="7" xfId="2" applyFont="1" applyFill="1" applyBorder="1" applyAlignment="1" applyProtection="1">
      <alignment horizontal="center" vertical="center" wrapText="1"/>
    </xf>
    <xf numFmtId="0" fontId="6" fillId="3" borderId="8" xfId="2" applyFont="1" applyFill="1" applyBorder="1" applyAlignment="1" applyProtection="1">
      <alignment horizontal="center" vertical="center" wrapText="1"/>
    </xf>
    <xf numFmtId="0" fontId="6" fillId="3" borderId="5" xfId="2" applyFont="1" applyFill="1" applyBorder="1" applyAlignment="1" applyProtection="1">
      <alignment horizontal="center" vertical="center"/>
    </xf>
    <xf numFmtId="0" fontId="6" fillId="3" borderId="6" xfId="2" applyFont="1" applyFill="1" applyBorder="1" applyAlignment="1" applyProtection="1">
      <alignment horizontal="center" vertical="center"/>
    </xf>
    <xf numFmtId="0" fontId="6" fillId="3" borderId="7" xfId="2" applyFont="1" applyFill="1" applyBorder="1" applyAlignment="1" applyProtection="1">
      <alignment horizontal="center" vertical="center"/>
    </xf>
    <xf numFmtId="0" fontId="6" fillId="3" borderId="8" xfId="2" applyFont="1" applyFill="1" applyBorder="1" applyAlignment="1" applyProtection="1">
      <alignment horizontal="center" vertical="center"/>
    </xf>
    <xf numFmtId="0" fontId="6" fillId="0" borderId="9" xfId="2" applyNumberFormat="1" applyFont="1" applyFill="1" applyBorder="1" applyAlignment="1" applyProtection="1">
      <alignment horizontal="center" vertical="center"/>
    </xf>
    <xf numFmtId="0" fontId="6" fillId="0" borderId="10" xfId="2" applyNumberFormat="1" applyFont="1" applyFill="1" applyBorder="1" applyAlignment="1" applyProtection="1">
      <alignment horizontal="center" vertical="center"/>
    </xf>
    <xf numFmtId="0" fontId="6" fillId="0" borderId="9" xfId="2" applyFont="1" applyFill="1" applyBorder="1" applyAlignment="1" applyProtection="1">
      <alignment horizontal="center" vertical="center"/>
    </xf>
    <xf numFmtId="0" fontId="6" fillId="0" borderId="10" xfId="2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right"/>
    </xf>
    <xf numFmtId="0" fontId="3" fillId="2" borderId="12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80130</xdr:colOff>
      <xdr:row>0</xdr:row>
      <xdr:rowOff>51404</xdr:rowOff>
    </xdr:from>
    <xdr:to>
      <xdr:col>9</xdr:col>
      <xdr:colOff>591759</xdr:colOff>
      <xdr:row>2</xdr:row>
      <xdr:rowOff>59033</xdr:rowOff>
    </xdr:to>
    <xdr:pic>
      <xdr:nvPicPr>
        <xdr:cNvPr id="2" name="Picture 32" descr="avtg_222x8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38797" y="51404"/>
          <a:ext cx="1495879" cy="54737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508000</xdr:colOff>
      <xdr:row>0</xdr:row>
      <xdr:rowOff>0</xdr:rowOff>
    </xdr:from>
    <xdr:to>
      <xdr:col>12</xdr:col>
      <xdr:colOff>9464</xdr:colOff>
      <xdr:row>1</xdr:row>
      <xdr:rowOff>147059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419417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zona"/>
      <queryTableField id="2" name="sector"/>
      <queryTableField id="3" name="codigo"/>
      <queryTableField id="4" name="nombres"/>
      <queryTableField id="5" name="cajas"/>
      <queryTableField id="6" name="los"/>
      <queryTableField id="7" name="cod"/>
      <queryTableField id="8" name="pod"/>
      <queryTableField id="9" name="comentarios"/>
      <queryTableField id="10" name="monto_facturado"/>
      <queryTableField id="11" name="raz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L1" sqref="A1:L1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7" customWidth="1"/>
    <col min="5" max="5" width="10.140625" customWidth="1"/>
    <col min="6" max="6" width="5.28515625" customWidth="1"/>
    <col min="7" max="7" width="3.5703125" customWidth="1"/>
    <col min="8" max="8" width="4.140625" customWidth="1"/>
    <col min="9" max="9" width="4.42578125" customWidth="1"/>
    <col min="10" max="10" width="12" customWidth="1"/>
    <col min="11" max="11" width="16.42578125" customWidth="1"/>
    <col min="12" max="12" width="8.710937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24</v>
      </c>
      <c r="B1" s="1" t="s">
        <v>17</v>
      </c>
      <c r="C1" s="1" t="s">
        <v>18</v>
      </c>
      <c r="D1" s="1" t="s">
        <v>16</v>
      </c>
      <c r="E1" s="1" t="s">
        <v>19</v>
      </c>
      <c r="F1" s="1" t="s">
        <v>20</v>
      </c>
      <c r="G1" s="1" t="s">
        <v>36</v>
      </c>
      <c r="H1" s="1" t="s">
        <v>21</v>
      </c>
      <c r="I1" s="1" t="s">
        <v>22</v>
      </c>
      <c r="J1" s="1" t="s">
        <v>23</v>
      </c>
      <c r="K1" s="1" t="s">
        <v>25</v>
      </c>
      <c r="L1" s="1" t="s">
        <v>38</v>
      </c>
      <c r="M1" s="1"/>
      <c r="N1" s="1"/>
      <c r="O1" s="1"/>
    </row>
    <row r="2" spans="1:15" x14ac:dyDescent="0.25">
      <c r="A2">
        <v>1</v>
      </c>
      <c r="B2">
        <v>201</v>
      </c>
      <c r="C2">
        <v>43</v>
      </c>
      <c r="D2">
        <v>206212</v>
      </c>
      <c r="E2" t="s">
        <v>39</v>
      </c>
      <c r="F2">
        <v>72</v>
      </c>
      <c r="G2">
        <v>6</v>
      </c>
      <c r="H2">
        <v>46</v>
      </c>
      <c r="I2">
        <v>2</v>
      </c>
      <c r="J2" t="s">
        <v>40</v>
      </c>
      <c r="K2">
        <v>1466</v>
      </c>
      <c r="L2" s="8" t="s">
        <v>41</v>
      </c>
    </row>
    <row r="3" spans="1:15" x14ac:dyDescent="0.25">
      <c r="A3">
        <f>IF(B3&gt;0,A2+1,"")</f>
        <v>2</v>
      </c>
      <c r="B3">
        <v>201</v>
      </c>
      <c r="C3">
        <v>69</v>
      </c>
      <c r="D3">
        <v>235036</v>
      </c>
      <c r="E3" t="s">
        <v>42</v>
      </c>
      <c r="F3">
        <v>38</v>
      </c>
      <c r="G3">
        <v>3</v>
      </c>
      <c r="H3">
        <v>21</v>
      </c>
      <c r="I3">
        <v>6</v>
      </c>
      <c r="J3" t="s">
        <v>43</v>
      </c>
      <c r="K3">
        <v>1171</v>
      </c>
      <c r="L3" s="8" t="s">
        <v>44</v>
      </c>
    </row>
    <row r="4" spans="1:15" x14ac:dyDescent="0.25">
      <c r="A4">
        <f t="shared" ref="A4:A67" si="0">IF(B4&gt;0,A3+1,"")</f>
        <v>3</v>
      </c>
      <c r="B4">
        <v>201</v>
      </c>
      <c r="C4">
        <v>88</v>
      </c>
      <c r="D4">
        <v>224591</v>
      </c>
      <c r="E4" t="s">
        <v>45</v>
      </c>
      <c r="F4">
        <v>95</v>
      </c>
      <c r="G4">
        <v>1</v>
      </c>
      <c r="H4">
        <v>75</v>
      </c>
      <c r="I4">
        <v>2</v>
      </c>
      <c r="J4" t="s">
        <v>45</v>
      </c>
      <c r="K4">
        <v>663</v>
      </c>
      <c r="L4" s="8" t="s">
        <v>46</v>
      </c>
    </row>
    <row r="5" spans="1:15" x14ac:dyDescent="0.25">
      <c r="A5">
        <f t="shared" si="0"/>
        <v>4</v>
      </c>
      <c r="B5">
        <v>201</v>
      </c>
      <c r="C5">
        <v>16</v>
      </c>
      <c r="D5">
        <v>249745</v>
      </c>
      <c r="E5" t="s">
        <v>47</v>
      </c>
      <c r="F5">
        <v>25</v>
      </c>
      <c r="G5">
        <v>4</v>
      </c>
      <c r="H5">
        <v>19</v>
      </c>
      <c r="I5">
        <v>9</v>
      </c>
      <c r="J5" t="s">
        <v>48</v>
      </c>
      <c r="K5">
        <v>894</v>
      </c>
      <c r="L5" s="8" t="s">
        <v>49</v>
      </c>
    </row>
    <row r="6" spans="1:15" x14ac:dyDescent="0.25">
      <c r="A6">
        <f t="shared" si="0"/>
        <v>5</v>
      </c>
      <c r="B6">
        <v>201</v>
      </c>
      <c r="C6">
        <v>93</v>
      </c>
      <c r="D6">
        <v>224232</v>
      </c>
      <c r="E6" t="s">
        <v>50</v>
      </c>
      <c r="F6">
        <v>56</v>
      </c>
      <c r="G6">
        <v>9</v>
      </c>
      <c r="H6">
        <v>109</v>
      </c>
      <c r="I6">
        <v>5</v>
      </c>
      <c r="J6" t="s">
        <v>51</v>
      </c>
      <c r="K6">
        <v>1681</v>
      </c>
      <c r="L6" s="8" t="s">
        <v>52</v>
      </c>
    </row>
    <row r="7" spans="1:15" x14ac:dyDescent="0.25">
      <c r="A7">
        <f t="shared" si="0"/>
        <v>6</v>
      </c>
      <c r="B7">
        <v>201</v>
      </c>
      <c r="C7">
        <v>73</v>
      </c>
      <c r="D7">
        <v>230585</v>
      </c>
      <c r="E7" t="s">
        <v>53</v>
      </c>
      <c r="F7">
        <v>66</v>
      </c>
      <c r="G7">
        <v>2</v>
      </c>
      <c r="H7">
        <v>74</v>
      </c>
      <c r="I7">
        <v>1</v>
      </c>
      <c r="J7" t="s">
        <v>54</v>
      </c>
      <c r="K7">
        <v>1368</v>
      </c>
      <c r="L7" s="8" t="s">
        <v>55</v>
      </c>
    </row>
    <row r="8" spans="1:15" x14ac:dyDescent="0.25">
      <c r="A8">
        <f t="shared" si="0"/>
        <v>7</v>
      </c>
      <c r="B8">
        <v>201</v>
      </c>
      <c r="C8">
        <v>96</v>
      </c>
      <c r="D8">
        <v>238900</v>
      </c>
      <c r="E8" t="s">
        <v>56</v>
      </c>
      <c r="F8">
        <v>18</v>
      </c>
      <c r="G8">
        <v>9</v>
      </c>
      <c r="H8">
        <v>100</v>
      </c>
      <c r="I8">
        <v>3</v>
      </c>
      <c r="J8" t="s">
        <v>57</v>
      </c>
      <c r="K8">
        <v>1205</v>
      </c>
      <c r="L8" s="8" t="s">
        <v>58</v>
      </c>
    </row>
    <row r="9" spans="1:15" x14ac:dyDescent="0.25">
      <c r="A9">
        <f t="shared" si="0"/>
        <v>8</v>
      </c>
      <c r="B9">
        <v>201</v>
      </c>
      <c r="C9">
        <v>1</v>
      </c>
      <c r="D9">
        <v>236176</v>
      </c>
      <c r="E9" t="s">
        <v>59</v>
      </c>
      <c r="F9">
        <v>44</v>
      </c>
      <c r="G9">
        <v>8</v>
      </c>
      <c r="H9">
        <v>99</v>
      </c>
      <c r="I9">
        <v>8</v>
      </c>
      <c r="J9" t="s">
        <v>60</v>
      </c>
      <c r="K9">
        <v>281</v>
      </c>
      <c r="L9" s="8" t="s">
        <v>61</v>
      </c>
    </row>
    <row r="10" spans="1:15" x14ac:dyDescent="0.25">
      <c r="A10">
        <f t="shared" si="0"/>
        <v>9</v>
      </c>
      <c r="B10">
        <v>201</v>
      </c>
      <c r="C10">
        <v>90</v>
      </c>
      <c r="D10">
        <v>231674</v>
      </c>
      <c r="E10" t="s">
        <v>62</v>
      </c>
      <c r="F10">
        <v>78</v>
      </c>
      <c r="G10">
        <v>10</v>
      </c>
      <c r="H10">
        <v>104</v>
      </c>
      <c r="I10">
        <v>9</v>
      </c>
      <c r="J10" t="s">
        <v>63</v>
      </c>
      <c r="K10">
        <v>1548</v>
      </c>
      <c r="L10" s="8" t="s">
        <v>64</v>
      </c>
    </row>
    <row r="11" spans="1:15" x14ac:dyDescent="0.25">
      <c r="A11">
        <f t="shared" si="0"/>
        <v>10</v>
      </c>
      <c r="B11">
        <v>201</v>
      </c>
      <c r="C11">
        <v>90</v>
      </c>
      <c r="D11">
        <v>239083</v>
      </c>
      <c r="E11" t="s">
        <v>65</v>
      </c>
      <c r="F11">
        <v>4</v>
      </c>
      <c r="G11">
        <v>6</v>
      </c>
      <c r="H11">
        <v>51</v>
      </c>
      <c r="I11">
        <v>8</v>
      </c>
      <c r="J11" t="s">
        <v>66</v>
      </c>
      <c r="K11">
        <v>322</v>
      </c>
      <c r="L11" s="8" t="s">
        <v>67</v>
      </c>
    </row>
    <row r="12" spans="1:15" x14ac:dyDescent="0.25">
      <c r="A12" t="str">
        <f t="shared" si="0"/>
        <v/>
      </c>
      <c r="L12" s="8"/>
    </row>
    <row r="13" spans="1:15" x14ac:dyDescent="0.25">
      <c r="A13" t="str">
        <f t="shared" si="0"/>
        <v/>
      </c>
      <c r="L13" s="8"/>
    </row>
    <row r="14" spans="1:15" x14ac:dyDescent="0.25">
      <c r="A14" t="str">
        <f t="shared" si="0"/>
        <v/>
      </c>
      <c r="L14" s="8"/>
    </row>
    <row r="15" spans="1:15" x14ac:dyDescent="0.25">
      <c r="A15" t="str">
        <f t="shared" si="0"/>
        <v/>
      </c>
      <c r="L15" s="8"/>
    </row>
    <row r="16" spans="1:15" x14ac:dyDescent="0.25">
      <c r="A16" t="str">
        <f t="shared" si="0"/>
        <v/>
      </c>
      <c r="L16" s="8"/>
    </row>
    <row r="17" spans="1:12" x14ac:dyDescent="0.25">
      <c r="A17" t="str">
        <f t="shared" si="0"/>
        <v/>
      </c>
      <c r="L17" s="8"/>
    </row>
    <row r="18" spans="1:12" x14ac:dyDescent="0.25">
      <c r="A18" t="str">
        <f t="shared" si="0"/>
        <v/>
      </c>
      <c r="L18" s="8"/>
    </row>
    <row r="19" spans="1:12" x14ac:dyDescent="0.25">
      <c r="A19" t="str">
        <f t="shared" si="0"/>
        <v/>
      </c>
      <c r="L19" s="8"/>
    </row>
    <row r="20" spans="1:12" x14ac:dyDescent="0.25">
      <c r="A20" t="str">
        <f t="shared" si="0"/>
        <v/>
      </c>
      <c r="L20" s="8"/>
    </row>
    <row r="21" spans="1:12" x14ac:dyDescent="0.25">
      <c r="A21" t="str">
        <f t="shared" si="0"/>
        <v/>
      </c>
      <c r="L21" s="8"/>
    </row>
    <row r="22" spans="1:12" x14ac:dyDescent="0.25">
      <c r="A22" t="str">
        <f t="shared" si="0"/>
        <v/>
      </c>
      <c r="L22" s="8"/>
    </row>
    <row r="23" spans="1:12" x14ac:dyDescent="0.25">
      <c r="A23" t="str">
        <f t="shared" si="0"/>
        <v/>
      </c>
      <c r="L23" s="8"/>
    </row>
    <row r="24" spans="1:12" x14ac:dyDescent="0.25">
      <c r="A24" t="str">
        <f t="shared" si="0"/>
        <v/>
      </c>
      <c r="L24" s="8"/>
    </row>
    <row r="25" spans="1:12" x14ac:dyDescent="0.25">
      <c r="A25" t="str">
        <f t="shared" si="0"/>
        <v/>
      </c>
      <c r="L25" s="8"/>
    </row>
    <row r="26" spans="1:12" x14ac:dyDescent="0.25">
      <c r="A26" t="str">
        <f t="shared" si="0"/>
        <v/>
      </c>
      <c r="L26" s="8"/>
    </row>
    <row r="27" spans="1:12" x14ac:dyDescent="0.25">
      <c r="A27" t="str">
        <f t="shared" si="0"/>
        <v/>
      </c>
      <c r="L27" s="8"/>
    </row>
    <row r="28" spans="1:12" x14ac:dyDescent="0.25">
      <c r="A28" t="str">
        <f t="shared" si="0"/>
        <v/>
      </c>
      <c r="L28" s="8"/>
    </row>
    <row r="29" spans="1:12" x14ac:dyDescent="0.25">
      <c r="A29" t="str">
        <f t="shared" si="0"/>
        <v/>
      </c>
      <c r="L29" s="8"/>
    </row>
    <row r="30" spans="1:12" x14ac:dyDescent="0.25">
      <c r="A30" t="str">
        <f t="shared" si="0"/>
        <v/>
      </c>
      <c r="L30" s="8"/>
    </row>
    <row r="31" spans="1:12" x14ac:dyDescent="0.25">
      <c r="A31" t="str">
        <f t="shared" si="0"/>
        <v/>
      </c>
      <c r="L31" s="8"/>
    </row>
    <row r="32" spans="1:12" x14ac:dyDescent="0.25">
      <c r="A32" t="str">
        <f t="shared" si="0"/>
        <v/>
      </c>
      <c r="L32" s="8"/>
    </row>
    <row r="33" spans="1:12" x14ac:dyDescent="0.25">
      <c r="A33" t="str">
        <f t="shared" si="0"/>
        <v/>
      </c>
      <c r="L33" s="8"/>
    </row>
    <row r="34" spans="1:12" x14ac:dyDescent="0.25">
      <c r="A34" t="str">
        <f t="shared" si="0"/>
        <v/>
      </c>
      <c r="L34" s="8"/>
    </row>
    <row r="35" spans="1:12" x14ac:dyDescent="0.25">
      <c r="A35" t="str">
        <f t="shared" si="0"/>
        <v/>
      </c>
      <c r="L35" s="8"/>
    </row>
    <row r="36" spans="1:12" x14ac:dyDescent="0.25">
      <c r="A36" t="str">
        <f t="shared" si="0"/>
        <v/>
      </c>
      <c r="L36" s="8"/>
    </row>
    <row r="37" spans="1:12" x14ac:dyDescent="0.25">
      <c r="A37" t="str">
        <f t="shared" si="0"/>
        <v/>
      </c>
      <c r="L37" s="8"/>
    </row>
    <row r="38" spans="1:12" x14ac:dyDescent="0.25">
      <c r="A38" t="str">
        <f t="shared" si="0"/>
        <v/>
      </c>
      <c r="L38" s="8"/>
    </row>
    <row r="39" spans="1:12" x14ac:dyDescent="0.25">
      <c r="A39" t="str">
        <f t="shared" si="0"/>
        <v/>
      </c>
      <c r="L39" s="8"/>
    </row>
    <row r="40" spans="1:12" x14ac:dyDescent="0.25">
      <c r="A40" t="str">
        <f t="shared" si="0"/>
        <v/>
      </c>
      <c r="L40" s="8"/>
    </row>
    <row r="41" spans="1:12" x14ac:dyDescent="0.25">
      <c r="A41" t="str">
        <f t="shared" si="0"/>
        <v/>
      </c>
      <c r="L41" s="8"/>
    </row>
    <row r="42" spans="1:12" x14ac:dyDescent="0.25">
      <c r="A42" t="str">
        <f t="shared" si="0"/>
        <v/>
      </c>
      <c r="L42" s="8"/>
    </row>
    <row r="43" spans="1:12" x14ac:dyDescent="0.25">
      <c r="A43" t="str">
        <f t="shared" si="0"/>
        <v/>
      </c>
      <c r="L43" s="8"/>
    </row>
    <row r="44" spans="1:12" x14ac:dyDescent="0.25">
      <c r="A44" t="str">
        <f t="shared" si="0"/>
        <v/>
      </c>
      <c r="L44" s="8"/>
    </row>
    <row r="45" spans="1:12" x14ac:dyDescent="0.25">
      <c r="A45" t="str">
        <f t="shared" si="0"/>
        <v/>
      </c>
      <c r="L45" s="8"/>
    </row>
    <row r="46" spans="1:12" x14ac:dyDescent="0.25">
      <c r="A46" t="str">
        <f t="shared" si="0"/>
        <v/>
      </c>
      <c r="L46" s="8"/>
    </row>
    <row r="47" spans="1:12" x14ac:dyDescent="0.25">
      <c r="A47" t="str">
        <f t="shared" si="0"/>
        <v/>
      </c>
      <c r="L47" s="8"/>
    </row>
    <row r="48" spans="1:12" x14ac:dyDescent="0.25">
      <c r="A48" t="str">
        <f t="shared" si="0"/>
        <v/>
      </c>
      <c r="L48" s="8"/>
    </row>
    <row r="49" spans="1:12" x14ac:dyDescent="0.25">
      <c r="A49" t="str">
        <f t="shared" si="0"/>
        <v/>
      </c>
      <c r="L49" s="8"/>
    </row>
    <row r="50" spans="1:12" x14ac:dyDescent="0.25">
      <c r="A50" t="str">
        <f t="shared" si="0"/>
        <v/>
      </c>
      <c r="L50" s="8"/>
    </row>
    <row r="51" spans="1:12" x14ac:dyDescent="0.25">
      <c r="A51" t="str">
        <f t="shared" si="0"/>
        <v/>
      </c>
      <c r="L51" s="8"/>
    </row>
    <row r="52" spans="1:12" x14ac:dyDescent="0.25">
      <c r="A52" t="str">
        <f t="shared" si="0"/>
        <v/>
      </c>
      <c r="L52" s="8"/>
    </row>
    <row r="53" spans="1:12" x14ac:dyDescent="0.25">
      <c r="A53" t="str">
        <f t="shared" si="0"/>
        <v/>
      </c>
      <c r="L53" s="8"/>
    </row>
    <row r="54" spans="1:12" x14ac:dyDescent="0.25">
      <c r="A54" t="str">
        <f t="shared" si="0"/>
        <v/>
      </c>
      <c r="L54" s="8"/>
    </row>
    <row r="55" spans="1:12" x14ac:dyDescent="0.25">
      <c r="A55" t="str">
        <f t="shared" si="0"/>
        <v/>
      </c>
      <c r="L55" s="8"/>
    </row>
    <row r="56" spans="1:12" x14ac:dyDescent="0.25">
      <c r="A56" t="str">
        <f t="shared" si="0"/>
        <v/>
      </c>
      <c r="L56" s="8"/>
    </row>
    <row r="57" spans="1:12" x14ac:dyDescent="0.25">
      <c r="A57" t="str">
        <f t="shared" si="0"/>
        <v/>
      </c>
      <c r="L57" s="8"/>
    </row>
    <row r="58" spans="1:12" x14ac:dyDescent="0.25">
      <c r="A58" t="str">
        <f t="shared" si="0"/>
        <v/>
      </c>
      <c r="L58" s="8"/>
    </row>
    <row r="59" spans="1:12" x14ac:dyDescent="0.25">
      <c r="A59" t="str">
        <f t="shared" si="0"/>
        <v/>
      </c>
      <c r="L59" s="8"/>
    </row>
    <row r="60" spans="1:12" x14ac:dyDescent="0.25">
      <c r="A60" t="str">
        <f t="shared" si="0"/>
        <v/>
      </c>
      <c r="L60" s="8"/>
    </row>
    <row r="61" spans="1:12" x14ac:dyDescent="0.25">
      <c r="A61" t="str">
        <f t="shared" si="0"/>
        <v/>
      </c>
      <c r="L61" s="8"/>
    </row>
    <row r="62" spans="1:12" x14ac:dyDescent="0.25">
      <c r="A62" t="str">
        <f t="shared" si="0"/>
        <v/>
      </c>
      <c r="L62" s="8"/>
    </row>
    <row r="63" spans="1:12" x14ac:dyDescent="0.25">
      <c r="A63" t="str">
        <f t="shared" si="0"/>
        <v/>
      </c>
      <c r="L63" s="8"/>
    </row>
    <row r="64" spans="1:12" x14ac:dyDescent="0.25">
      <c r="A64" t="str">
        <f t="shared" si="0"/>
        <v/>
      </c>
      <c r="L64" s="8"/>
    </row>
    <row r="65" spans="1:12" x14ac:dyDescent="0.25">
      <c r="A65" t="str">
        <f t="shared" si="0"/>
        <v/>
      </c>
      <c r="L65" s="8"/>
    </row>
    <row r="66" spans="1:12" x14ac:dyDescent="0.25">
      <c r="A66" t="str">
        <f t="shared" si="0"/>
        <v/>
      </c>
      <c r="L66" s="8"/>
    </row>
    <row r="67" spans="1:12" x14ac:dyDescent="0.25">
      <c r="A67" t="str">
        <f t="shared" si="0"/>
        <v/>
      </c>
      <c r="L67" s="8"/>
    </row>
    <row r="68" spans="1:12" x14ac:dyDescent="0.25">
      <c r="A68" t="str">
        <f t="shared" ref="A68:A131" si="1">IF(B68&gt;0,A67+1,"")</f>
        <v/>
      </c>
      <c r="L68" s="8"/>
    </row>
    <row r="69" spans="1:12" x14ac:dyDescent="0.25">
      <c r="A69" t="str">
        <f t="shared" si="1"/>
        <v/>
      </c>
      <c r="L69" s="8"/>
    </row>
    <row r="70" spans="1:12" x14ac:dyDescent="0.25">
      <c r="A70" t="str">
        <f t="shared" si="1"/>
        <v/>
      </c>
      <c r="L70" s="8"/>
    </row>
    <row r="71" spans="1:12" x14ac:dyDescent="0.25">
      <c r="A71" t="str">
        <f t="shared" si="1"/>
        <v/>
      </c>
      <c r="L71" s="8"/>
    </row>
    <row r="72" spans="1:12" x14ac:dyDescent="0.25">
      <c r="A72" t="str">
        <f t="shared" si="1"/>
        <v/>
      </c>
      <c r="L72" s="8"/>
    </row>
    <row r="73" spans="1:12" x14ac:dyDescent="0.25">
      <c r="A73" t="str">
        <f t="shared" si="1"/>
        <v/>
      </c>
      <c r="L73" s="8"/>
    </row>
    <row r="74" spans="1:12" x14ac:dyDescent="0.25">
      <c r="A74" t="str">
        <f t="shared" si="1"/>
        <v/>
      </c>
      <c r="L74" s="8"/>
    </row>
    <row r="75" spans="1:12" x14ac:dyDescent="0.25">
      <c r="A75" t="str">
        <f t="shared" si="1"/>
        <v/>
      </c>
      <c r="L75" s="8"/>
    </row>
    <row r="76" spans="1:12" x14ac:dyDescent="0.25">
      <c r="A76" t="str">
        <f t="shared" si="1"/>
        <v/>
      </c>
      <c r="L76" s="8"/>
    </row>
    <row r="77" spans="1:12" x14ac:dyDescent="0.25">
      <c r="A77" t="str">
        <f t="shared" si="1"/>
        <v/>
      </c>
      <c r="L77" s="8"/>
    </row>
    <row r="78" spans="1:12" x14ac:dyDescent="0.25">
      <c r="A78" t="str">
        <f t="shared" si="1"/>
        <v/>
      </c>
      <c r="L78" s="8"/>
    </row>
    <row r="79" spans="1:12" x14ac:dyDescent="0.25">
      <c r="A79" t="str">
        <f t="shared" si="1"/>
        <v/>
      </c>
      <c r="L79" s="8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25" x14ac:dyDescent="0.25">
      <c r="A1" s="2" t="s">
        <v>0</v>
      </c>
      <c r="B1" s="43" t="str">
        <f>CONCATENATE("SELECT 
  a.`zona`,
  a.`sector`,
  a.`codigo`,
  a.`nombres`,
  b.`cajas`,
 a.los,
  b.`cod`,
  b.`pod`,
  b.`comentarios`,
  b.`monto_facturado`,
b.razon
FROM
  consejeras a 
","   INNER JOIN pedidos b 
    ON b.`codigo` = a.`codigo` WHERE b.`estado` = 3  AND b.`campania` =",REPORTE!G3," AND b.`anio` = ",YEAR(REPORTE!A3)," AND a.zona = ",REPORTE!E3)</f>
        <v>SELECT 
  a.`zona`,
  a.`sector`,
  a.`codigo`,
  a.`nombres`,
  b.`cajas`,
 a.los,
  b.`cod`,
  b.`pod`,
  b.`comentarios`,
  b.`monto_facturado`,
b.razon
FROM
  consejeras a 
   INNER JOIN pedidos b 
    ON b.`codigo` = a.`codigo` WHERE b.`estado` = 3  AND b.`campania` =1 AND b.`anio` = 2015 AND a.zona = 201</v>
      </c>
    </row>
    <row r="2" spans="1:2" x14ac:dyDescent="0.25">
      <c r="B2" s="3">
        <f>LEN(B1)</f>
        <v>311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L99"/>
  <sheetViews>
    <sheetView showGridLines="0" tabSelected="1" zoomScale="90" zoomScaleNormal="90" zoomScalePageLayoutView="70" workbookViewId="0">
      <selection activeCell="G6" sqref="G6:G7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11.140625" style="5" customWidth="1"/>
    <col min="4" max="4" width="40.140625" style="29" customWidth="1"/>
    <col min="5" max="6" width="13.28515625" style="5" customWidth="1"/>
    <col min="7" max="8" width="13.28515625" style="4" customWidth="1"/>
    <col min="9" max="12" width="14.7109375" style="4" customWidth="1"/>
    <col min="13" max="16384" width="11.42578125" style="4"/>
  </cols>
  <sheetData>
    <row r="1" spans="1:12" s="9" customFormat="1" ht="19.5" x14ac:dyDescent="0.25">
      <c r="A1" s="45" t="s">
        <v>26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s="9" customFormat="1" ht="23.25" customHeight="1" thickBot="1" x14ac:dyDescent="0.3">
      <c r="A2" s="45" t="s">
        <v>27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</row>
    <row r="3" spans="1:12" s="6" customFormat="1" ht="15.75" customHeight="1" thickBot="1" x14ac:dyDescent="0.3">
      <c r="A3" s="46">
        <v>42091</v>
      </c>
      <c r="B3" s="47"/>
      <c r="C3" s="48"/>
      <c r="D3" s="32"/>
      <c r="E3" s="49">
        <v>201</v>
      </c>
      <c r="F3" s="49"/>
      <c r="G3" s="50" t="s">
        <v>37</v>
      </c>
      <c r="H3" s="50"/>
      <c r="I3" s="35"/>
      <c r="J3" s="33" t="s">
        <v>28</v>
      </c>
      <c r="K3" s="36">
        <f>COUNTIF(B8:B37,"&gt;0")</f>
        <v>10</v>
      </c>
      <c r="L3" s="33">
        <v>1</v>
      </c>
    </row>
    <row r="4" spans="1:12" s="6" customFormat="1" ht="13.5" customHeight="1" x14ac:dyDescent="0.25">
      <c r="A4" s="51" t="s">
        <v>8</v>
      </c>
      <c r="B4" s="51"/>
      <c r="C4" s="51"/>
      <c r="D4" s="32"/>
      <c r="E4" s="52" t="s">
        <v>1</v>
      </c>
      <c r="F4" s="52"/>
      <c r="G4" s="52" t="s">
        <v>7</v>
      </c>
      <c r="H4" s="52"/>
      <c r="I4" s="33"/>
      <c r="J4" s="33" t="s">
        <v>29</v>
      </c>
      <c r="K4" s="37">
        <f>SUM(E8:E37)</f>
        <v>496</v>
      </c>
      <c r="L4" s="34">
        <v>30</v>
      </c>
    </row>
    <row r="5" spans="1:12" s="6" customFormat="1" ht="7.5" customHeight="1" x14ac:dyDescent="0.25">
      <c r="A5" s="7"/>
      <c r="B5" s="11"/>
      <c r="C5" s="7"/>
      <c r="D5" s="32"/>
      <c r="E5" s="32"/>
      <c r="F5" s="10"/>
      <c r="G5" s="12"/>
      <c r="H5" s="32"/>
      <c r="I5" s="32"/>
      <c r="J5" s="32"/>
      <c r="K5" s="32"/>
      <c r="L5" s="32"/>
    </row>
    <row r="6" spans="1:12" s="6" customFormat="1" ht="21" customHeight="1" x14ac:dyDescent="0.25">
      <c r="A6" s="53" t="s">
        <v>9</v>
      </c>
      <c r="B6" s="54" t="s">
        <v>2</v>
      </c>
      <c r="C6" s="54" t="s">
        <v>30</v>
      </c>
      <c r="D6" s="54" t="s">
        <v>10</v>
      </c>
      <c r="E6" s="53" t="s">
        <v>29</v>
      </c>
      <c r="F6" s="44" t="s">
        <v>12</v>
      </c>
      <c r="G6" s="55" t="s">
        <v>13</v>
      </c>
      <c r="H6" s="56" t="s">
        <v>31</v>
      </c>
      <c r="I6" s="57" t="s">
        <v>32</v>
      </c>
      <c r="J6" s="58"/>
      <c r="K6" s="61" t="s">
        <v>11</v>
      </c>
      <c r="L6" s="62"/>
    </row>
    <row r="7" spans="1:12" s="6" customFormat="1" ht="10.5" customHeight="1" x14ac:dyDescent="0.25">
      <c r="A7" s="53"/>
      <c r="B7" s="54"/>
      <c r="C7" s="54"/>
      <c r="D7" s="54"/>
      <c r="E7" s="53"/>
      <c r="F7" s="44"/>
      <c r="G7" s="55"/>
      <c r="H7" s="56"/>
      <c r="I7" s="59"/>
      <c r="J7" s="60"/>
      <c r="K7" s="63"/>
      <c r="L7" s="64"/>
    </row>
    <row r="8" spans="1:12" s="6" customFormat="1" ht="21" customHeight="1" x14ac:dyDescent="0.25">
      <c r="A8" s="30">
        <f>+L3</f>
        <v>1</v>
      </c>
      <c r="B8" s="30">
        <f>IFERROR(VLOOKUP(A8,Info!A:L,4,0),"")</f>
        <v>206212</v>
      </c>
      <c r="C8" s="13">
        <f>IFERROR(VLOOKUP(A8,Info!A:L,3,0),"")</f>
        <v>43</v>
      </c>
      <c r="D8" s="30" t="str">
        <f>UPPER(IFERROR(VLOOKUP(A8,Info!A:L,5,0),""))</f>
        <v>YETTA</v>
      </c>
      <c r="E8" s="14">
        <f>IFERROR(VLOOKUP(A8,Info!A:L,6,0),"")</f>
        <v>72</v>
      </c>
      <c r="F8" s="16">
        <f>IFERROR(VLOOKUP(A8,Info!A:L,8,0),"")</f>
        <v>46</v>
      </c>
      <c r="G8" s="15">
        <f>IFERROR(VLOOKUP(A8,Info!A:L,9,0),"")</f>
        <v>2</v>
      </c>
      <c r="H8" s="30">
        <f>IFERROR(VLOOKUP(A8,Info!A:L,7,0),"")</f>
        <v>6</v>
      </c>
      <c r="I8" s="65" t="str">
        <f>IFERROR(VLOOKUP(A8,Info!A:L,12,0),"")</f>
        <v>Zia</v>
      </c>
      <c r="J8" s="66"/>
      <c r="K8" s="67" t="str">
        <f>IFERROR(VLOOKUP(A8,Info!A:L,10,0),"")</f>
        <v>Sophia</v>
      </c>
      <c r="L8" s="68"/>
    </row>
    <row r="9" spans="1:12" s="6" customFormat="1" ht="21" customHeight="1" x14ac:dyDescent="0.25">
      <c r="A9" s="30">
        <f>IF(A8&lt;$L$4,A8+1,$L$4)</f>
        <v>2</v>
      </c>
      <c r="B9" s="30">
        <f>IFERROR(VLOOKUP(A9,Info!A:L,4,0),"")</f>
        <v>235036</v>
      </c>
      <c r="C9" s="13">
        <f>IFERROR(VLOOKUP(A9,Info!A:L,3,0),"")</f>
        <v>69</v>
      </c>
      <c r="D9" s="30" t="str">
        <f>UPPER(IFERROR(VLOOKUP(A9,Info!A:L,5,0),""))</f>
        <v>KALIA</v>
      </c>
      <c r="E9" s="14">
        <f>IFERROR(VLOOKUP(A9,Info!A:L,6,0),"")</f>
        <v>38</v>
      </c>
      <c r="F9" s="16">
        <f>IFERROR(VLOOKUP(A9,Info!A:L,8,0),"")</f>
        <v>21</v>
      </c>
      <c r="G9" s="15">
        <f>IFERROR(VLOOKUP(A9,Info!A:L,9,0),"")</f>
        <v>6</v>
      </c>
      <c r="H9" s="30">
        <f>IFERROR(VLOOKUP(A9,Info!A:L,7,0),"")</f>
        <v>3</v>
      </c>
      <c r="I9" s="65" t="str">
        <f>IFERROR(VLOOKUP(A9,Info!A:L,12,0),"")</f>
        <v>Lydia</v>
      </c>
      <c r="J9" s="66"/>
      <c r="K9" s="67" t="str">
        <f>IFERROR(VLOOKUP(A9,Info!A:L,10,0),"")</f>
        <v>Dante</v>
      </c>
      <c r="L9" s="68"/>
    </row>
    <row r="10" spans="1:12" s="6" customFormat="1" ht="21" customHeight="1" x14ac:dyDescent="0.25">
      <c r="A10" s="30">
        <f t="shared" ref="A10:A37" si="0">IF(A9&lt;$L$4,A9+1,$L$4)</f>
        <v>3</v>
      </c>
      <c r="B10" s="30">
        <f>IFERROR(VLOOKUP(A10,Info!A:L,4,0),"")</f>
        <v>224591</v>
      </c>
      <c r="C10" s="13">
        <f>IFERROR(VLOOKUP(A10,Info!A:L,3,0),"")</f>
        <v>88</v>
      </c>
      <c r="D10" s="30" t="str">
        <f>UPPER(IFERROR(VLOOKUP(A10,Info!A:L,5,0),""))</f>
        <v>DAHLIA</v>
      </c>
      <c r="E10" s="14">
        <f>IFERROR(VLOOKUP(A10,Info!A:L,6,0),"")</f>
        <v>95</v>
      </c>
      <c r="F10" s="16">
        <f>IFERROR(VLOOKUP(A10,Info!A:L,8,0),"")</f>
        <v>75</v>
      </c>
      <c r="G10" s="15">
        <f>IFERROR(VLOOKUP(A10,Info!A:L,9,0),"")</f>
        <v>2</v>
      </c>
      <c r="H10" s="30">
        <f>IFERROR(VLOOKUP(A10,Info!A:L,7,0),"")</f>
        <v>1</v>
      </c>
      <c r="I10" s="65" t="str">
        <f>IFERROR(VLOOKUP(A10,Info!A:L,12,0),"")</f>
        <v>Zahir</v>
      </c>
      <c r="J10" s="66"/>
      <c r="K10" s="67" t="str">
        <f>IFERROR(VLOOKUP(A10,Info!A:L,10,0),"")</f>
        <v>Dahlia</v>
      </c>
      <c r="L10" s="68"/>
    </row>
    <row r="11" spans="1:12" s="6" customFormat="1" ht="21" customHeight="1" x14ac:dyDescent="0.25">
      <c r="A11" s="30">
        <f t="shared" si="0"/>
        <v>4</v>
      </c>
      <c r="B11" s="30">
        <f>IFERROR(VLOOKUP(A11,Info!A:L,4,0),"")</f>
        <v>249745</v>
      </c>
      <c r="C11" s="13">
        <f>IFERROR(VLOOKUP(A11,Info!A:L,3,0),"")</f>
        <v>16</v>
      </c>
      <c r="D11" s="30" t="str">
        <f>UPPER(IFERROR(VLOOKUP(A11,Info!A:L,5,0),""))</f>
        <v>ELLA</v>
      </c>
      <c r="E11" s="14">
        <f>IFERROR(VLOOKUP(A11,Info!A:L,6,0),"")</f>
        <v>25</v>
      </c>
      <c r="F11" s="16">
        <f>IFERROR(VLOOKUP(A11,Info!A:L,8,0),"")</f>
        <v>19</v>
      </c>
      <c r="G11" s="15">
        <f>IFERROR(VLOOKUP(A11,Info!A:L,9,0),"")</f>
        <v>9</v>
      </c>
      <c r="H11" s="30">
        <f>IFERROR(VLOOKUP(A11,Info!A:L,7,0),"")</f>
        <v>4</v>
      </c>
      <c r="I11" s="65" t="str">
        <f>IFERROR(VLOOKUP(A11,Info!A:L,12,0),"")</f>
        <v>Hanna</v>
      </c>
      <c r="J11" s="66"/>
      <c r="K11" s="67" t="str">
        <f>IFERROR(VLOOKUP(A11,Info!A:L,10,0),"")</f>
        <v>Nissim</v>
      </c>
      <c r="L11" s="68"/>
    </row>
    <row r="12" spans="1:12" s="6" customFormat="1" ht="21" customHeight="1" x14ac:dyDescent="0.25">
      <c r="A12" s="30">
        <f t="shared" si="0"/>
        <v>5</v>
      </c>
      <c r="B12" s="30">
        <f>IFERROR(VLOOKUP(A12,Info!A:L,4,0),"")</f>
        <v>224232</v>
      </c>
      <c r="C12" s="13">
        <f>IFERROR(VLOOKUP(A12,Info!A:L,3,0),"")</f>
        <v>93</v>
      </c>
      <c r="D12" s="30" t="str">
        <f>UPPER(IFERROR(VLOOKUP(A12,Info!A:L,5,0),""))</f>
        <v>ELIANA</v>
      </c>
      <c r="E12" s="14">
        <f>IFERROR(VLOOKUP(A12,Info!A:L,6,0),"")</f>
        <v>56</v>
      </c>
      <c r="F12" s="16">
        <f>IFERROR(VLOOKUP(A12,Info!A:L,8,0),"")</f>
        <v>109</v>
      </c>
      <c r="G12" s="15">
        <f>IFERROR(VLOOKUP(A12,Info!A:L,9,0),"")</f>
        <v>5</v>
      </c>
      <c r="H12" s="30">
        <f>IFERROR(VLOOKUP(A12,Info!A:L,7,0),"")</f>
        <v>9</v>
      </c>
      <c r="I12" s="65" t="str">
        <f>IFERROR(VLOOKUP(A12,Info!A:L,12,0),"")</f>
        <v>Quincy</v>
      </c>
      <c r="J12" s="66"/>
      <c r="K12" s="67" t="str">
        <f>IFERROR(VLOOKUP(A12,Info!A:L,10,0),"")</f>
        <v>Nicole</v>
      </c>
      <c r="L12" s="68"/>
    </row>
    <row r="13" spans="1:12" s="6" customFormat="1" ht="21" customHeight="1" x14ac:dyDescent="0.25">
      <c r="A13" s="30">
        <f t="shared" si="0"/>
        <v>6</v>
      </c>
      <c r="B13" s="30">
        <f>IFERROR(VLOOKUP(A13,Info!A:L,4,0),"")</f>
        <v>230585</v>
      </c>
      <c r="C13" s="13">
        <f>IFERROR(VLOOKUP(A13,Info!A:L,3,0),"")</f>
        <v>73</v>
      </c>
      <c r="D13" s="30" t="str">
        <f>UPPER(IFERROR(VLOOKUP(A13,Info!A:L,5,0),""))</f>
        <v>KIMBERLEY</v>
      </c>
      <c r="E13" s="14">
        <f>IFERROR(VLOOKUP(A13,Info!A:L,6,0),"")</f>
        <v>66</v>
      </c>
      <c r="F13" s="16">
        <f>IFERROR(VLOOKUP(A13,Info!A:L,8,0),"")</f>
        <v>74</v>
      </c>
      <c r="G13" s="15">
        <f>IFERROR(VLOOKUP(A13,Info!A:L,9,0),"")</f>
        <v>1</v>
      </c>
      <c r="H13" s="30">
        <f>IFERROR(VLOOKUP(A13,Info!A:L,7,0),"")</f>
        <v>2</v>
      </c>
      <c r="I13" s="65" t="str">
        <f>IFERROR(VLOOKUP(A13,Info!A:L,12,0),"")</f>
        <v>Marsden</v>
      </c>
      <c r="J13" s="66"/>
      <c r="K13" s="67" t="str">
        <f>IFERROR(VLOOKUP(A13,Info!A:L,10,0),"")</f>
        <v>Hamish</v>
      </c>
      <c r="L13" s="68"/>
    </row>
    <row r="14" spans="1:12" s="6" customFormat="1" ht="21" customHeight="1" x14ac:dyDescent="0.25">
      <c r="A14" s="30">
        <f t="shared" si="0"/>
        <v>7</v>
      </c>
      <c r="B14" s="30">
        <f>IFERROR(VLOOKUP(A14,Info!A:L,4,0),"")</f>
        <v>238900</v>
      </c>
      <c r="C14" s="13">
        <f>IFERROR(VLOOKUP(A14,Info!A:L,3,0),"")</f>
        <v>96</v>
      </c>
      <c r="D14" s="30" t="str">
        <f>UPPER(IFERROR(VLOOKUP(A14,Info!A:L,5,0),""))</f>
        <v>REGAN</v>
      </c>
      <c r="E14" s="14">
        <f>IFERROR(VLOOKUP(A14,Info!A:L,6,0),"")</f>
        <v>18</v>
      </c>
      <c r="F14" s="16">
        <f>IFERROR(VLOOKUP(A14,Info!A:L,8,0),"")</f>
        <v>100</v>
      </c>
      <c r="G14" s="15">
        <f>IFERROR(VLOOKUP(A14,Info!A:L,9,0),"")</f>
        <v>3</v>
      </c>
      <c r="H14" s="30">
        <f>IFERROR(VLOOKUP(A14,Info!A:L,7,0),"")</f>
        <v>9</v>
      </c>
      <c r="I14" s="65" t="str">
        <f>IFERROR(VLOOKUP(A14,Info!A:L,12,0),"")</f>
        <v>Carol</v>
      </c>
      <c r="J14" s="66"/>
      <c r="K14" s="67" t="str">
        <f>IFERROR(VLOOKUP(A14,Info!A:L,10,0),"")</f>
        <v>Ulysses</v>
      </c>
      <c r="L14" s="68"/>
    </row>
    <row r="15" spans="1:12" s="6" customFormat="1" ht="21" customHeight="1" x14ac:dyDescent="0.25">
      <c r="A15" s="30">
        <f t="shared" si="0"/>
        <v>8</v>
      </c>
      <c r="B15" s="30">
        <f>IFERROR(VLOOKUP(A15,Info!A:L,4,0),"")</f>
        <v>236176</v>
      </c>
      <c r="C15" s="13">
        <f>IFERROR(VLOOKUP(A15,Info!A:L,3,0),"")</f>
        <v>1</v>
      </c>
      <c r="D15" s="30" t="str">
        <f>UPPER(IFERROR(VLOOKUP(A15,Info!A:L,5,0),""))</f>
        <v>LEAH</v>
      </c>
      <c r="E15" s="14">
        <f>IFERROR(VLOOKUP(A15,Info!A:L,6,0),"")</f>
        <v>44</v>
      </c>
      <c r="F15" s="16">
        <f>IFERROR(VLOOKUP(A15,Info!A:L,8,0),"")</f>
        <v>99</v>
      </c>
      <c r="G15" s="15">
        <f>IFERROR(VLOOKUP(A15,Info!A:L,9,0),"")</f>
        <v>8</v>
      </c>
      <c r="H15" s="30">
        <f>IFERROR(VLOOKUP(A15,Info!A:L,7,0),"")</f>
        <v>8</v>
      </c>
      <c r="I15" s="65" t="str">
        <f>IFERROR(VLOOKUP(A15,Info!A:L,12,0),"")</f>
        <v>Michelle</v>
      </c>
      <c r="J15" s="66"/>
      <c r="K15" s="67" t="str">
        <f>IFERROR(VLOOKUP(A15,Info!A:L,10,0),"")</f>
        <v>Oscar</v>
      </c>
      <c r="L15" s="68"/>
    </row>
    <row r="16" spans="1:12" s="6" customFormat="1" ht="21" customHeight="1" x14ac:dyDescent="0.25">
      <c r="A16" s="30">
        <f t="shared" si="0"/>
        <v>9</v>
      </c>
      <c r="B16" s="30">
        <f>IFERROR(VLOOKUP(A16,Info!A:L,4,0),"")</f>
        <v>231674</v>
      </c>
      <c r="C16" s="13">
        <f>IFERROR(VLOOKUP(A16,Info!A:L,3,0),"")</f>
        <v>90</v>
      </c>
      <c r="D16" s="30" t="str">
        <f>UPPER(IFERROR(VLOOKUP(A16,Info!A:L,5,0),""))</f>
        <v>GLORIA</v>
      </c>
      <c r="E16" s="14">
        <f>IFERROR(VLOOKUP(A16,Info!A:L,6,0),"")</f>
        <v>78</v>
      </c>
      <c r="F16" s="16">
        <f>IFERROR(VLOOKUP(A16,Info!A:L,8,0),"")</f>
        <v>104</v>
      </c>
      <c r="G16" s="15">
        <f>IFERROR(VLOOKUP(A16,Info!A:L,9,0),"")</f>
        <v>9</v>
      </c>
      <c r="H16" s="30">
        <f>IFERROR(VLOOKUP(A16,Info!A:L,7,0),"")</f>
        <v>10</v>
      </c>
      <c r="I16" s="65" t="str">
        <f>IFERROR(VLOOKUP(A16,Info!A:L,12,0),"")</f>
        <v>Luke</v>
      </c>
      <c r="J16" s="66"/>
      <c r="K16" s="67" t="str">
        <f>IFERROR(VLOOKUP(A16,Info!A:L,10,0),"")</f>
        <v>Clarke</v>
      </c>
      <c r="L16" s="68"/>
    </row>
    <row r="17" spans="1:12" s="6" customFormat="1" ht="21" customHeight="1" x14ac:dyDescent="0.25">
      <c r="A17" s="30">
        <f t="shared" si="0"/>
        <v>10</v>
      </c>
      <c r="B17" s="30">
        <f>IFERROR(VLOOKUP(A17,Info!A:L,4,0),"")</f>
        <v>239083</v>
      </c>
      <c r="C17" s="13">
        <f>IFERROR(VLOOKUP(A17,Info!A:L,3,0),"")</f>
        <v>90</v>
      </c>
      <c r="D17" s="30" t="str">
        <f>UPPER(IFERROR(VLOOKUP(A17,Info!A:L,5,0),""))</f>
        <v>LESLIE</v>
      </c>
      <c r="E17" s="14">
        <f>IFERROR(VLOOKUP(A17,Info!A:L,6,0),"")</f>
        <v>4</v>
      </c>
      <c r="F17" s="16">
        <f>IFERROR(VLOOKUP(A17,Info!A:L,8,0),"")</f>
        <v>51</v>
      </c>
      <c r="G17" s="15">
        <f>IFERROR(VLOOKUP(A17,Info!A:L,9,0),"")</f>
        <v>8</v>
      </c>
      <c r="H17" s="30">
        <f>IFERROR(VLOOKUP(A17,Info!A:L,7,0),"")</f>
        <v>6</v>
      </c>
      <c r="I17" s="65" t="str">
        <f>IFERROR(VLOOKUP(A17,Info!A:L,12,0),"")</f>
        <v>Blaine</v>
      </c>
      <c r="J17" s="66"/>
      <c r="K17" s="67" t="str">
        <f>IFERROR(VLOOKUP(A17,Info!A:L,10,0),"")</f>
        <v>Buckminster</v>
      </c>
      <c r="L17" s="68"/>
    </row>
    <row r="18" spans="1:12" s="6" customFormat="1" ht="21" customHeight="1" x14ac:dyDescent="0.25">
      <c r="A18" s="30">
        <f t="shared" si="0"/>
        <v>11</v>
      </c>
      <c r="B18" s="30" t="str">
        <f>IFERROR(VLOOKUP(A18,Info!A:L,4,0),"")</f>
        <v/>
      </c>
      <c r="C18" s="13" t="str">
        <f>IFERROR(VLOOKUP(A18,Info!A:L,3,0),"")</f>
        <v/>
      </c>
      <c r="D18" s="30" t="str">
        <f>UPPER(IFERROR(VLOOKUP(A18,Info!A:L,5,0),""))</f>
        <v/>
      </c>
      <c r="E18" s="14" t="str">
        <f>IFERROR(VLOOKUP(A18,Info!A:L,6,0),"")</f>
        <v/>
      </c>
      <c r="F18" s="16" t="str">
        <f>IFERROR(VLOOKUP(A18,Info!A:L,8,0),"")</f>
        <v/>
      </c>
      <c r="G18" s="15" t="str">
        <f>IFERROR(VLOOKUP(A18,Info!A:L,9,0),"")</f>
        <v/>
      </c>
      <c r="H18" s="30" t="str">
        <f>IFERROR(VLOOKUP(A18,Info!A:L,7,0),"")</f>
        <v/>
      </c>
      <c r="I18" s="65" t="str">
        <f>IFERROR(VLOOKUP(A18,Info!A:L,12,0),"")</f>
        <v/>
      </c>
      <c r="J18" s="66"/>
      <c r="K18" s="67" t="str">
        <f>IFERROR(VLOOKUP(A18,Info!A:L,10,0),"")</f>
        <v/>
      </c>
      <c r="L18" s="68"/>
    </row>
    <row r="19" spans="1:12" s="6" customFormat="1" ht="21" customHeight="1" x14ac:dyDescent="0.25">
      <c r="A19" s="30">
        <f t="shared" si="0"/>
        <v>12</v>
      </c>
      <c r="B19" s="30" t="str">
        <f>IFERROR(VLOOKUP(A19,Info!A:L,4,0),"")</f>
        <v/>
      </c>
      <c r="C19" s="13" t="str">
        <f>IFERROR(VLOOKUP(A19,Info!A:L,3,0),"")</f>
        <v/>
      </c>
      <c r="D19" s="30" t="str">
        <f>UPPER(IFERROR(VLOOKUP(A19,Info!A:L,5,0),""))</f>
        <v/>
      </c>
      <c r="E19" s="14" t="str">
        <f>IFERROR(VLOOKUP(A19,Info!A:L,6,0),"")</f>
        <v/>
      </c>
      <c r="F19" s="16" t="str">
        <f>IFERROR(VLOOKUP(A19,Info!A:L,8,0),"")</f>
        <v/>
      </c>
      <c r="G19" s="15" t="str">
        <f>IFERROR(VLOOKUP(A19,Info!A:L,9,0),"")</f>
        <v/>
      </c>
      <c r="H19" s="30" t="str">
        <f>IFERROR(VLOOKUP(A19,Info!A:L,7,0),"")</f>
        <v/>
      </c>
      <c r="I19" s="65" t="str">
        <f>IFERROR(VLOOKUP(A19,Info!A:L,12,0),"")</f>
        <v/>
      </c>
      <c r="J19" s="66"/>
      <c r="K19" s="67" t="str">
        <f>IFERROR(VLOOKUP(A19,Info!A:L,10,0),"")</f>
        <v/>
      </c>
      <c r="L19" s="68"/>
    </row>
    <row r="20" spans="1:12" s="6" customFormat="1" ht="21" customHeight="1" x14ac:dyDescent="0.25">
      <c r="A20" s="30">
        <f t="shared" si="0"/>
        <v>13</v>
      </c>
      <c r="B20" s="30" t="str">
        <f>IFERROR(VLOOKUP(A20,Info!A:L,4,0),"")</f>
        <v/>
      </c>
      <c r="C20" s="13" t="str">
        <f>IFERROR(VLOOKUP(A20,Info!A:L,3,0),"")</f>
        <v/>
      </c>
      <c r="D20" s="30" t="str">
        <f>UPPER(IFERROR(VLOOKUP(A20,Info!A:L,5,0),""))</f>
        <v/>
      </c>
      <c r="E20" s="14" t="str">
        <f>IFERROR(VLOOKUP(A20,Info!A:L,6,0),"")</f>
        <v/>
      </c>
      <c r="F20" s="16" t="str">
        <f>IFERROR(VLOOKUP(A20,Info!A:L,8,0),"")</f>
        <v/>
      </c>
      <c r="G20" s="15" t="str">
        <f>IFERROR(VLOOKUP(A20,Info!A:L,9,0),"")</f>
        <v/>
      </c>
      <c r="H20" s="30" t="str">
        <f>IFERROR(VLOOKUP(A20,Info!A:L,7,0),"")</f>
        <v/>
      </c>
      <c r="I20" s="65" t="str">
        <f>IFERROR(VLOOKUP(A20,Info!A:L,12,0),"")</f>
        <v/>
      </c>
      <c r="J20" s="66"/>
      <c r="K20" s="67" t="str">
        <f>IFERROR(VLOOKUP(A20,Info!A:L,10,0),"")</f>
        <v/>
      </c>
      <c r="L20" s="68"/>
    </row>
    <row r="21" spans="1:12" s="6" customFormat="1" ht="21" customHeight="1" x14ac:dyDescent="0.25">
      <c r="A21" s="30">
        <f t="shared" si="0"/>
        <v>14</v>
      </c>
      <c r="B21" s="30" t="str">
        <f>IFERROR(VLOOKUP(A21,Info!A:L,4,0),"")</f>
        <v/>
      </c>
      <c r="C21" s="13" t="str">
        <f>IFERROR(VLOOKUP(A21,Info!A:L,3,0),"")</f>
        <v/>
      </c>
      <c r="D21" s="30" t="str">
        <f>UPPER(IFERROR(VLOOKUP(A21,Info!A:L,5,0),""))</f>
        <v/>
      </c>
      <c r="E21" s="14" t="str">
        <f>IFERROR(VLOOKUP(A21,Info!A:L,6,0),"")</f>
        <v/>
      </c>
      <c r="F21" s="16" t="str">
        <f>IFERROR(VLOOKUP(A21,Info!A:L,8,0),"")</f>
        <v/>
      </c>
      <c r="G21" s="15" t="str">
        <f>IFERROR(VLOOKUP(A21,Info!A:L,9,0),"")</f>
        <v/>
      </c>
      <c r="H21" s="30" t="str">
        <f>IFERROR(VLOOKUP(A21,Info!A:L,7,0),"")</f>
        <v/>
      </c>
      <c r="I21" s="65" t="str">
        <f>IFERROR(VLOOKUP(A21,Info!A:L,12,0),"")</f>
        <v/>
      </c>
      <c r="J21" s="66"/>
      <c r="K21" s="67" t="str">
        <f>IFERROR(VLOOKUP(A21,Info!A:L,10,0),"")</f>
        <v/>
      </c>
      <c r="L21" s="68"/>
    </row>
    <row r="22" spans="1:12" s="6" customFormat="1" ht="21" customHeight="1" x14ac:dyDescent="0.25">
      <c r="A22" s="30">
        <f t="shared" si="0"/>
        <v>15</v>
      </c>
      <c r="B22" s="30" t="str">
        <f>IFERROR(VLOOKUP(A22,Info!A:L,4,0),"")</f>
        <v/>
      </c>
      <c r="C22" s="13" t="str">
        <f>IFERROR(VLOOKUP(A22,Info!A:L,3,0),"")</f>
        <v/>
      </c>
      <c r="D22" s="30" t="str">
        <f>UPPER(IFERROR(VLOOKUP(A22,Info!A:L,5,0),""))</f>
        <v/>
      </c>
      <c r="E22" s="14" t="str">
        <f>IFERROR(VLOOKUP(A22,Info!A:L,6,0),"")</f>
        <v/>
      </c>
      <c r="F22" s="16" t="str">
        <f>IFERROR(VLOOKUP(A22,Info!A:L,8,0),"")</f>
        <v/>
      </c>
      <c r="G22" s="15" t="str">
        <f>IFERROR(VLOOKUP(A22,Info!A:L,9,0),"")</f>
        <v/>
      </c>
      <c r="H22" s="30" t="str">
        <f>IFERROR(VLOOKUP(A22,Info!A:L,7,0),"")</f>
        <v/>
      </c>
      <c r="I22" s="65" t="str">
        <f>IFERROR(VLOOKUP(A22,Info!A:L,12,0),"")</f>
        <v/>
      </c>
      <c r="J22" s="66"/>
      <c r="K22" s="67" t="str">
        <f>IFERROR(VLOOKUP(A22,Info!A:L,10,0),"")</f>
        <v/>
      </c>
      <c r="L22" s="68"/>
    </row>
    <row r="23" spans="1:12" s="6" customFormat="1" ht="21" customHeight="1" x14ac:dyDescent="0.25">
      <c r="A23" s="30">
        <f t="shared" si="0"/>
        <v>16</v>
      </c>
      <c r="B23" s="30" t="str">
        <f>IFERROR(VLOOKUP(A23,Info!A:L,4,0),"")</f>
        <v/>
      </c>
      <c r="C23" s="13" t="str">
        <f>IFERROR(VLOOKUP(A23,Info!A:L,3,0),"")</f>
        <v/>
      </c>
      <c r="D23" s="30" t="str">
        <f>UPPER(IFERROR(VLOOKUP(A23,Info!A:L,5,0),""))</f>
        <v/>
      </c>
      <c r="E23" s="14" t="str">
        <f>IFERROR(VLOOKUP(A23,Info!A:L,6,0),"")</f>
        <v/>
      </c>
      <c r="F23" s="16" t="str">
        <f>IFERROR(VLOOKUP(A23,Info!A:L,8,0),"")</f>
        <v/>
      </c>
      <c r="G23" s="15" t="str">
        <f>IFERROR(VLOOKUP(A23,Info!A:L,9,0),"")</f>
        <v/>
      </c>
      <c r="H23" s="30" t="str">
        <f>IFERROR(VLOOKUP(A23,Info!A:L,7,0),"")</f>
        <v/>
      </c>
      <c r="I23" s="65" t="str">
        <f>IFERROR(VLOOKUP(A23,Info!A:L,12,0),"")</f>
        <v/>
      </c>
      <c r="J23" s="66"/>
      <c r="K23" s="67" t="str">
        <f>IFERROR(VLOOKUP(A23,Info!A:L,10,0),"")</f>
        <v/>
      </c>
      <c r="L23" s="68"/>
    </row>
    <row r="24" spans="1:12" s="6" customFormat="1" ht="21" customHeight="1" x14ac:dyDescent="0.25">
      <c r="A24" s="30">
        <f t="shared" si="0"/>
        <v>17</v>
      </c>
      <c r="B24" s="30" t="str">
        <f>IFERROR(VLOOKUP(A24,Info!A:L,4,0),"")</f>
        <v/>
      </c>
      <c r="C24" s="13" t="str">
        <f>IFERROR(VLOOKUP(A24,Info!A:L,3,0),"")</f>
        <v/>
      </c>
      <c r="D24" s="30" t="str">
        <f>UPPER(IFERROR(VLOOKUP(A24,Info!A:L,5,0),""))</f>
        <v/>
      </c>
      <c r="E24" s="14" t="str">
        <f>IFERROR(VLOOKUP(A24,Info!A:L,6,0),"")</f>
        <v/>
      </c>
      <c r="F24" s="16" t="str">
        <f>IFERROR(VLOOKUP(A24,Info!A:L,8,0),"")</f>
        <v/>
      </c>
      <c r="G24" s="15" t="str">
        <f>IFERROR(VLOOKUP(A24,Info!A:L,9,0),"")</f>
        <v/>
      </c>
      <c r="H24" s="30" t="str">
        <f>IFERROR(VLOOKUP(A24,Info!A:L,7,0),"")</f>
        <v/>
      </c>
      <c r="I24" s="65" t="str">
        <f>IFERROR(VLOOKUP(A24,Info!A:L,12,0),"")</f>
        <v/>
      </c>
      <c r="J24" s="66"/>
      <c r="K24" s="67" t="str">
        <f>IFERROR(VLOOKUP(A24,Info!A:L,10,0),"")</f>
        <v/>
      </c>
      <c r="L24" s="68"/>
    </row>
    <row r="25" spans="1:12" s="6" customFormat="1" ht="21" customHeight="1" x14ac:dyDescent="0.25">
      <c r="A25" s="30">
        <f t="shared" si="0"/>
        <v>18</v>
      </c>
      <c r="B25" s="30" t="str">
        <f>IFERROR(VLOOKUP(A25,Info!A:L,4,0),"")</f>
        <v/>
      </c>
      <c r="C25" s="13" t="str">
        <f>IFERROR(VLOOKUP(A25,Info!A:L,3,0),"")</f>
        <v/>
      </c>
      <c r="D25" s="30" t="str">
        <f>UPPER(IFERROR(VLOOKUP(A25,Info!A:L,5,0),""))</f>
        <v/>
      </c>
      <c r="E25" s="14" t="str">
        <f>IFERROR(VLOOKUP(A25,Info!A:L,6,0),"")</f>
        <v/>
      </c>
      <c r="F25" s="16" t="str">
        <f>IFERROR(VLOOKUP(A25,Info!A:L,8,0),"")</f>
        <v/>
      </c>
      <c r="G25" s="15" t="str">
        <f>IFERROR(VLOOKUP(A25,Info!A:L,9,0),"")</f>
        <v/>
      </c>
      <c r="H25" s="30" t="str">
        <f>IFERROR(VLOOKUP(A25,Info!A:L,7,0),"")</f>
        <v/>
      </c>
      <c r="I25" s="65" t="str">
        <f>IFERROR(VLOOKUP(A25,Info!A:L,12,0),"")</f>
        <v/>
      </c>
      <c r="J25" s="66"/>
      <c r="K25" s="67" t="str">
        <f>IFERROR(VLOOKUP(A25,Info!A:L,10,0),"")</f>
        <v/>
      </c>
      <c r="L25" s="68"/>
    </row>
    <row r="26" spans="1:12" s="6" customFormat="1" ht="21" customHeight="1" x14ac:dyDescent="0.25">
      <c r="A26" s="30">
        <f t="shared" si="0"/>
        <v>19</v>
      </c>
      <c r="B26" s="30" t="str">
        <f>IFERROR(VLOOKUP(A26,Info!A:L,4,0),"")</f>
        <v/>
      </c>
      <c r="C26" s="13" t="str">
        <f>IFERROR(VLOOKUP(A26,Info!A:L,3,0),"")</f>
        <v/>
      </c>
      <c r="D26" s="30" t="str">
        <f>UPPER(IFERROR(VLOOKUP(A26,Info!A:L,5,0),""))</f>
        <v/>
      </c>
      <c r="E26" s="14" t="str">
        <f>IFERROR(VLOOKUP(A26,Info!A:L,6,0),"")</f>
        <v/>
      </c>
      <c r="F26" s="16" t="str">
        <f>IFERROR(VLOOKUP(A26,Info!A:L,8,0),"")</f>
        <v/>
      </c>
      <c r="G26" s="15" t="str">
        <f>IFERROR(VLOOKUP(A26,Info!A:L,9,0),"")</f>
        <v/>
      </c>
      <c r="H26" s="30" t="str">
        <f>IFERROR(VLOOKUP(A26,Info!A:L,7,0),"")</f>
        <v/>
      </c>
      <c r="I26" s="65" t="str">
        <f>IFERROR(VLOOKUP(A26,Info!A:L,12,0),"")</f>
        <v/>
      </c>
      <c r="J26" s="66"/>
      <c r="K26" s="67" t="str">
        <f>IFERROR(VLOOKUP(A26,Info!A:L,10,0),"")</f>
        <v/>
      </c>
      <c r="L26" s="68"/>
    </row>
    <row r="27" spans="1:12" s="6" customFormat="1" ht="21" customHeight="1" x14ac:dyDescent="0.25">
      <c r="A27" s="30">
        <f t="shared" si="0"/>
        <v>20</v>
      </c>
      <c r="B27" s="30" t="str">
        <f>IFERROR(VLOOKUP(A27,Info!A:L,4,0),"")</f>
        <v/>
      </c>
      <c r="C27" s="13" t="str">
        <f>IFERROR(VLOOKUP(A27,Info!A:L,3,0),"")</f>
        <v/>
      </c>
      <c r="D27" s="30" t="str">
        <f>UPPER(IFERROR(VLOOKUP(A27,Info!A:L,5,0),""))</f>
        <v/>
      </c>
      <c r="E27" s="14" t="str">
        <f>IFERROR(VLOOKUP(A27,Info!A:L,6,0),"")</f>
        <v/>
      </c>
      <c r="F27" s="16" t="str">
        <f>IFERROR(VLOOKUP(A27,Info!A:L,8,0),"")</f>
        <v/>
      </c>
      <c r="G27" s="15" t="str">
        <f>IFERROR(VLOOKUP(A27,Info!A:L,9,0),"")</f>
        <v/>
      </c>
      <c r="H27" s="30" t="str">
        <f>IFERROR(VLOOKUP(A27,Info!A:L,7,0),"")</f>
        <v/>
      </c>
      <c r="I27" s="65" t="str">
        <f>IFERROR(VLOOKUP(A27,Info!A:L,12,0),"")</f>
        <v/>
      </c>
      <c r="J27" s="66"/>
      <c r="K27" s="67" t="str">
        <f>IFERROR(VLOOKUP(A27,Info!A:L,10,0),"")</f>
        <v/>
      </c>
      <c r="L27" s="68"/>
    </row>
    <row r="28" spans="1:12" s="6" customFormat="1" ht="21" customHeight="1" x14ac:dyDescent="0.25">
      <c r="A28" s="30">
        <f t="shared" si="0"/>
        <v>21</v>
      </c>
      <c r="B28" s="30" t="str">
        <f>IFERROR(VLOOKUP(A28,Info!A:L,4,0),"")</f>
        <v/>
      </c>
      <c r="C28" s="13" t="str">
        <f>IFERROR(VLOOKUP(A28,Info!A:L,3,0),"")</f>
        <v/>
      </c>
      <c r="D28" s="30" t="str">
        <f>UPPER(IFERROR(VLOOKUP(A28,Info!A:L,5,0),""))</f>
        <v/>
      </c>
      <c r="E28" s="14" t="str">
        <f>IFERROR(VLOOKUP(A28,Info!A:L,6,0),"")</f>
        <v/>
      </c>
      <c r="F28" s="16" t="str">
        <f>IFERROR(VLOOKUP(A28,Info!A:L,8,0),"")</f>
        <v/>
      </c>
      <c r="G28" s="15" t="str">
        <f>IFERROR(VLOOKUP(A28,Info!A:L,9,0),"")</f>
        <v/>
      </c>
      <c r="H28" s="30" t="str">
        <f>IFERROR(VLOOKUP(A28,Info!A:L,7,0),"")</f>
        <v/>
      </c>
      <c r="I28" s="65" t="str">
        <f>IFERROR(VLOOKUP(A28,Info!A:L,12,0),"")</f>
        <v/>
      </c>
      <c r="J28" s="66"/>
      <c r="K28" s="67" t="str">
        <f>IFERROR(VLOOKUP(A28,Info!A:L,10,0),"")</f>
        <v/>
      </c>
      <c r="L28" s="68"/>
    </row>
    <row r="29" spans="1:12" s="6" customFormat="1" ht="21" customHeight="1" x14ac:dyDescent="0.25">
      <c r="A29" s="30">
        <f t="shared" si="0"/>
        <v>22</v>
      </c>
      <c r="B29" s="30" t="str">
        <f>IFERROR(VLOOKUP(A29,Info!A:L,4,0),"")</f>
        <v/>
      </c>
      <c r="C29" s="13" t="str">
        <f>IFERROR(VLOOKUP(A29,Info!A:L,3,0),"")</f>
        <v/>
      </c>
      <c r="D29" s="30" t="str">
        <f>UPPER(IFERROR(VLOOKUP(A29,Info!A:L,5,0),""))</f>
        <v/>
      </c>
      <c r="E29" s="14" t="str">
        <f>IFERROR(VLOOKUP(A29,Info!A:L,6,0),"")</f>
        <v/>
      </c>
      <c r="F29" s="16" t="str">
        <f>IFERROR(VLOOKUP(A29,Info!A:L,8,0),"")</f>
        <v/>
      </c>
      <c r="G29" s="15" t="str">
        <f>IFERROR(VLOOKUP(A29,Info!A:L,9,0),"")</f>
        <v/>
      </c>
      <c r="H29" s="30" t="str">
        <f>IFERROR(VLOOKUP(A29,Info!A:L,7,0),"")</f>
        <v/>
      </c>
      <c r="I29" s="65" t="str">
        <f>IFERROR(VLOOKUP(A29,Info!A:L,12,0),"")</f>
        <v/>
      </c>
      <c r="J29" s="66"/>
      <c r="K29" s="67" t="str">
        <f>IFERROR(VLOOKUP(A29,Info!A:L,10,0),"")</f>
        <v/>
      </c>
      <c r="L29" s="68"/>
    </row>
    <row r="30" spans="1:12" s="6" customFormat="1" ht="21" customHeight="1" x14ac:dyDescent="0.25">
      <c r="A30" s="30">
        <f t="shared" si="0"/>
        <v>23</v>
      </c>
      <c r="B30" s="30" t="str">
        <f>IFERROR(VLOOKUP(A30,Info!A:L,4,0),"")</f>
        <v/>
      </c>
      <c r="C30" s="13" t="str">
        <f>IFERROR(VLOOKUP(A30,Info!A:L,3,0),"")</f>
        <v/>
      </c>
      <c r="D30" s="30" t="str">
        <f>UPPER(IFERROR(VLOOKUP(A30,Info!A:L,5,0),""))</f>
        <v/>
      </c>
      <c r="E30" s="14" t="str">
        <f>IFERROR(VLOOKUP(A30,Info!A:L,6,0),"")</f>
        <v/>
      </c>
      <c r="F30" s="16" t="str">
        <f>IFERROR(VLOOKUP(A30,Info!A:L,8,0),"")</f>
        <v/>
      </c>
      <c r="G30" s="15" t="str">
        <f>IFERROR(VLOOKUP(A30,Info!A:L,9,0),"")</f>
        <v/>
      </c>
      <c r="H30" s="30" t="str">
        <f>IFERROR(VLOOKUP(A30,Info!A:L,7,0),"")</f>
        <v/>
      </c>
      <c r="I30" s="65" t="str">
        <f>IFERROR(VLOOKUP(A30,Info!A:L,12,0),"")</f>
        <v/>
      </c>
      <c r="J30" s="66"/>
      <c r="K30" s="67" t="str">
        <f>IFERROR(VLOOKUP(A30,Info!A:L,10,0),"")</f>
        <v/>
      </c>
      <c r="L30" s="68"/>
    </row>
    <row r="31" spans="1:12" s="6" customFormat="1" ht="21" customHeight="1" x14ac:dyDescent="0.25">
      <c r="A31" s="30">
        <f t="shared" si="0"/>
        <v>24</v>
      </c>
      <c r="B31" s="30" t="str">
        <f>IFERROR(VLOOKUP(A31,Info!A:L,4,0),"")</f>
        <v/>
      </c>
      <c r="C31" s="13" t="str">
        <f>IFERROR(VLOOKUP(A31,Info!A:L,3,0),"")</f>
        <v/>
      </c>
      <c r="D31" s="30" t="str">
        <f>UPPER(IFERROR(VLOOKUP(A31,Info!A:L,5,0),""))</f>
        <v/>
      </c>
      <c r="E31" s="14" t="str">
        <f>IFERROR(VLOOKUP(A31,Info!A:L,6,0),"")</f>
        <v/>
      </c>
      <c r="F31" s="16" t="str">
        <f>IFERROR(VLOOKUP(A31,Info!A:L,8,0),"")</f>
        <v/>
      </c>
      <c r="G31" s="15" t="str">
        <f>IFERROR(VLOOKUP(A31,Info!A:L,9,0),"")</f>
        <v/>
      </c>
      <c r="H31" s="30" t="str">
        <f>IFERROR(VLOOKUP(A31,Info!A:L,7,0),"")</f>
        <v/>
      </c>
      <c r="I31" s="65" t="str">
        <f>IFERROR(VLOOKUP(A31,Info!A:L,12,0),"")</f>
        <v/>
      </c>
      <c r="J31" s="66"/>
      <c r="K31" s="67" t="str">
        <f>IFERROR(VLOOKUP(A31,Info!A:L,10,0),"")</f>
        <v/>
      </c>
      <c r="L31" s="68"/>
    </row>
    <row r="32" spans="1:12" s="6" customFormat="1" ht="21" customHeight="1" x14ac:dyDescent="0.25">
      <c r="A32" s="30">
        <f t="shared" si="0"/>
        <v>25</v>
      </c>
      <c r="B32" s="30" t="str">
        <f>IFERROR(VLOOKUP(A32,Info!A:L,4,0),"")</f>
        <v/>
      </c>
      <c r="C32" s="13" t="str">
        <f>IFERROR(VLOOKUP(A32,Info!A:L,3,0),"")</f>
        <v/>
      </c>
      <c r="D32" s="30" t="str">
        <f>UPPER(IFERROR(VLOOKUP(A32,Info!A:L,5,0),""))</f>
        <v/>
      </c>
      <c r="E32" s="14" t="str">
        <f>IFERROR(VLOOKUP(A32,Info!A:L,6,0),"")</f>
        <v/>
      </c>
      <c r="F32" s="16" t="str">
        <f>IFERROR(VLOOKUP(A32,Info!A:L,8,0),"")</f>
        <v/>
      </c>
      <c r="G32" s="15" t="str">
        <f>IFERROR(VLOOKUP(A32,Info!A:L,9,0),"")</f>
        <v/>
      </c>
      <c r="H32" s="30" t="str">
        <f>IFERROR(VLOOKUP(A32,Info!A:L,7,0),"")</f>
        <v/>
      </c>
      <c r="I32" s="65" t="str">
        <f>IFERROR(VLOOKUP(A32,Info!A:L,12,0),"")</f>
        <v/>
      </c>
      <c r="J32" s="66"/>
      <c r="K32" s="67" t="str">
        <f>IFERROR(VLOOKUP(A32,Info!A:L,10,0),"")</f>
        <v/>
      </c>
      <c r="L32" s="68"/>
    </row>
    <row r="33" spans="1:12" s="6" customFormat="1" ht="21" customHeight="1" x14ac:dyDescent="0.25">
      <c r="A33" s="30">
        <f t="shared" si="0"/>
        <v>26</v>
      </c>
      <c r="B33" s="30" t="str">
        <f>IFERROR(VLOOKUP(A33,Info!A:L,4,0),"")</f>
        <v/>
      </c>
      <c r="C33" s="13" t="str">
        <f>IFERROR(VLOOKUP(A33,Info!A:L,3,0),"")</f>
        <v/>
      </c>
      <c r="D33" s="30" t="str">
        <f>UPPER(IFERROR(VLOOKUP(A33,Info!A:L,5,0),""))</f>
        <v/>
      </c>
      <c r="E33" s="14" t="str">
        <f>IFERROR(VLOOKUP(A33,Info!A:L,6,0),"")</f>
        <v/>
      </c>
      <c r="F33" s="16" t="str">
        <f>IFERROR(VLOOKUP(A33,Info!A:L,8,0),"")</f>
        <v/>
      </c>
      <c r="G33" s="15" t="str">
        <f>IFERROR(VLOOKUP(A33,Info!A:L,9,0),"")</f>
        <v/>
      </c>
      <c r="H33" s="30" t="str">
        <f>IFERROR(VLOOKUP(A33,Info!A:L,7,0),"")</f>
        <v/>
      </c>
      <c r="I33" s="65" t="str">
        <f>IFERROR(VLOOKUP(A33,Info!A:L,12,0),"")</f>
        <v/>
      </c>
      <c r="J33" s="66"/>
      <c r="K33" s="67" t="str">
        <f>IFERROR(VLOOKUP(A33,Info!A:L,10,0),"")</f>
        <v/>
      </c>
      <c r="L33" s="68"/>
    </row>
    <row r="34" spans="1:12" s="6" customFormat="1" ht="21" customHeight="1" x14ac:dyDescent="0.25">
      <c r="A34" s="30">
        <f t="shared" si="0"/>
        <v>27</v>
      </c>
      <c r="B34" s="30" t="str">
        <f>IFERROR(VLOOKUP(A34,Info!A:L,4,0),"")</f>
        <v/>
      </c>
      <c r="C34" s="13" t="str">
        <f>IFERROR(VLOOKUP(A34,Info!A:L,3,0),"")</f>
        <v/>
      </c>
      <c r="D34" s="30" t="str">
        <f>UPPER(IFERROR(VLOOKUP(A34,Info!A:L,5,0),""))</f>
        <v/>
      </c>
      <c r="E34" s="14" t="str">
        <f>IFERROR(VLOOKUP(A34,Info!A:L,6,0),"")</f>
        <v/>
      </c>
      <c r="F34" s="16" t="str">
        <f>IFERROR(VLOOKUP(A34,Info!A:L,8,0),"")</f>
        <v/>
      </c>
      <c r="G34" s="15" t="str">
        <f>IFERROR(VLOOKUP(A34,Info!A:L,9,0),"")</f>
        <v/>
      </c>
      <c r="H34" s="30" t="str">
        <f>IFERROR(VLOOKUP(A34,Info!A:L,7,0),"")</f>
        <v/>
      </c>
      <c r="I34" s="65" t="str">
        <f>IFERROR(VLOOKUP(A34,Info!A:L,12,0),"")</f>
        <v/>
      </c>
      <c r="J34" s="66"/>
      <c r="K34" s="67" t="str">
        <f>IFERROR(VLOOKUP(A34,Info!A:L,10,0),"")</f>
        <v/>
      </c>
      <c r="L34" s="68"/>
    </row>
    <row r="35" spans="1:12" s="6" customFormat="1" ht="21" customHeight="1" x14ac:dyDescent="0.25">
      <c r="A35" s="30">
        <f t="shared" si="0"/>
        <v>28</v>
      </c>
      <c r="B35" s="30" t="str">
        <f>IFERROR(VLOOKUP(A35,Info!A:L,4,0),"")</f>
        <v/>
      </c>
      <c r="C35" s="13" t="str">
        <f>IFERROR(VLOOKUP(A35,Info!A:L,3,0),"")</f>
        <v/>
      </c>
      <c r="D35" s="30" t="str">
        <f>UPPER(IFERROR(VLOOKUP(A35,Info!A:L,5,0),""))</f>
        <v/>
      </c>
      <c r="E35" s="14" t="str">
        <f>IFERROR(VLOOKUP(A35,Info!A:L,6,0),"")</f>
        <v/>
      </c>
      <c r="F35" s="16" t="str">
        <f>IFERROR(VLOOKUP(A35,Info!A:L,8,0),"")</f>
        <v/>
      </c>
      <c r="G35" s="15" t="str">
        <f>IFERROR(VLOOKUP(A35,Info!A:L,9,0),"")</f>
        <v/>
      </c>
      <c r="H35" s="30" t="str">
        <f>IFERROR(VLOOKUP(A35,Info!A:L,7,0),"")</f>
        <v/>
      </c>
      <c r="I35" s="65" t="str">
        <f>IFERROR(VLOOKUP(A35,Info!A:L,12,0),"")</f>
        <v/>
      </c>
      <c r="J35" s="66"/>
      <c r="K35" s="67" t="str">
        <f>IFERROR(VLOOKUP(A35,Info!A:L,10,0),"")</f>
        <v/>
      </c>
      <c r="L35" s="68"/>
    </row>
    <row r="36" spans="1:12" s="6" customFormat="1" ht="21" customHeight="1" x14ac:dyDescent="0.25">
      <c r="A36" s="30">
        <f t="shared" si="0"/>
        <v>29</v>
      </c>
      <c r="B36" s="30" t="str">
        <f>IFERROR(VLOOKUP(A36,Info!A:L,4,0),"")</f>
        <v/>
      </c>
      <c r="C36" s="13" t="str">
        <f>IFERROR(VLOOKUP(A36,Info!A:L,3,0),"")</f>
        <v/>
      </c>
      <c r="D36" s="30" t="str">
        <f>UPPER(IFERROR(VLOOKUP(A36,Info!A:L,5,0),""))</f>
        <v/>
      </c>
      <c r="E36" s="14" t="str">
        <f>IFERROR(VLOOKUP(A36,Info!A:L,6,0),"")</f>
        <v/>
      </c>
      <c r="F36" s="16" t="str">
        <f>IFERROR(VLOOKUP(A36,Info!A:L,8,0),"")</f>
        <v/>
      </c>
      <c r="G36" s="15" t="str">
        <f>IFERROR(VLOOKUP(A36,Info!A:L,9,0),"")</f>
        <v/>
      </c>
      <c r="H36" s="30" t="str">
        <f>IFERROR(VLOOKUP(A36,Info!A:L,7,0),"")</f>
        <v/>
      </c>
      <c r="I36" s="65" t="str">
        <f>IFERROR(VLOOKUP(A36,Info!A:L,12,0),"")</f>
        <v/>
      </c>
      <c r="J36" s="66"/>
      <c r="K36" s="67" t="str">
        <f>IFERROR(VLOOKUP(A36,Info!A:L,10,0),"")</f>
        <v/>
      </c>
      <c r="L36" s="68"/>
    </row>
    <row r="37" spans="1:12" s="6" customFormat="1" ht="21" customHeight="1" x14ac:dyDescent="0.25">
      <c r="A37" s="30">
        <f t="shared" si="0"/>
        <v>30</v>
      </c>
      <c r="B37" s="30" t="str">
        <f>IFERROR(VLOOKUP(A37,Info!A:L,4,0),"")</f>
        <v/>
      </c>
      <c r="C37" s="13" t="str">
        <f>IFERROR(VLOOKUP(A37,Info!A:L,3,0),"")</f>
        <v/>
      </c>
      <c r="D37" s="30" t="str">
        <f>UPPER(IFERROR(VLOOKUP(A37,Info!A:L,5,0),""))</f>
        <v/>
      </c>
      <c r="E37" s="14" t="str">
        <f>IFERROR(VLOOKUP(A37,Info!A:L,6,0),"")</f>
        <v/>
      </c>
      <c r="F37" s="16" t="str">
        <f>IFERROR(VLOOKUP(A37,Info!A:L,8,0),"")</f>
        <v/>
      </c>
      <c r="G37" s="15" t="str">
        <f>IFERROR(VLOOKUP(A37,Info!A:L,9,0),"")</f>
        <v/>
      </c>
      <c r="H37" s="30" t="str">
        <f>IFERROR(VLOOKUP(A37,Info!A:L,7,0),"")</f>
        <v/>
      </c>
      <c r="I37" s="65" t="str">
        <f>IFERROR(VLOOKUP(A37,Info!A:L,12,0),"")</f>
        <v/>
      </c>
      <c r="J37" s="66"/>
      <c r="K37" s="67" t="str">
        <f>IFERROR(VLOOKUP(A37,Info!A:L,10,0),"")</f>
        <v/>
      </c>
      <c r="L37" s="68"/>
    </row>
    <row r="38" spans="1:12" s="6" customFormat="1" ht="21" customHeight="1" x14ac:dyDescent="0.25">
      <c r="A38" s="70" t="s">
        <v>14</v>
      </c>
      <c r="B38" s="70"/>
      <c r="C38" s="70"/>
      <c r="D38" s="70"/>
      <c r="E38" s="14">
        <f>SUM(E8:E37)</f>
        <v>496</v>
      </c>
      <c r="F38" s="16">
        <f>SUM(F8:F37)</f>
        <v>698</v>
      </c>
      <c r="G38" s="15">
        <f>SUM(G8:G37)</f>
        <v>53</v>
      </c>
      <c r="H38" s="38"/>
      <c r="I38" s="38"/>
      <c r="J38" s="39"/>
      <c r="K38" s="39"/>
      <c r="L38" s="40"/>
    </row>
    <row r="39" spans="1:12" x14ac:dyDescent="0.3">
      <c r="A39" s="71" t="s">
        <v>33</v>
      </c>
      <c r="B39" s="71"/>
      <c r="C39" s="72" t="s">
        <v>15</v>
      </c>
      <c r="D39" s="72"/>
      <c r="E39" s="73" t="s">
        <v>34</v>
      </c>
      <c r="F39" s="73"/>
      <c r="G39" s="74"/>
      <c r="H39" s="74"/>
      <c r="I39" s="20"/>
      <c r="J39" s="6" t="s">
        <v>35</v>
      </c>
      <c r="K39" s="41"/>
      <c r="L39" s="41"/>
    </row>
    <row r="40" spans="1:12" s="6" customFormat="1" ht="13.5" x14ac:dyDescent="0.25">
      <c r="E40" s="21"/>
      <c r="F40" s="22"/>
      <c r="G40" s="22"/>
      <c r="H40" s="23"/>
      <c r="I40" s="23"/>
    </row>
    <row r="41" spans="1:12" x14ac:dyDescent="0.3">
      <c r="A41" s="24"/>
      <c r="B41" s="24"/>
      <c r="C41" s="18"/>
      <c r="D41" s="25"/>
      <c r="E41" s="25"/>
      <c r="F41" s="18"/>
      <c r="G41" s="18"/>
      <c r="H41" s="26"/>
      <c r="I41" s="26"/>
      <c r="J41" s="20"/>
    </row>
    <row r="42" spans="1:12" x14ac:dyDescent="0.3">
      <c r="A42" s="69"/>
      <c r="B42" s="69"/>
      <c r="C42" s="31"/>
      <c r="D42" s="25"/>
      <c r="E42" s="31"/>
      <c r="F42" s="31"/>
      <c r="G42" s="31"/>
      <c r="H42" s="26"/>
      <c r="I42" s="26"/>
      <c r="J42" s="20"/>
    </row>
    <row r="43" spans="1:12" x14ac:dyDescent="0.3">
      <c r="A43" s="24"/>
      <c r="B43" s="24"/>
      <c r="C43" s="18"/>
      <c r="D43" s="25"/>
      <c r="E43" s="25"/>
      <c r="F43" s="18"/>
      <c r="G43" s="18"/>
      <c r="H43" s="26"/>
      <c r="I43" s="26"/>
      <c r="J43" s="20"/>
    </row>
    <row r="44" spans="1:12" x14ac:dyDescent="0.3">
      <c r="A44" s="24"/>
      <c r="B44" s="24"/>
      <c r="C44" s="18"/>
      <c r="D44" s="25"/>
      <c r="E44" s="25"/>
      <c r="F44" s="18"/>
      <c r="G44" s="18"/>
      <c r="H44" s="26"/>
      <c r="I44" s="26"/>
      <c r="J44" s="20"/>
    </row>
    <row r="45" spans="1:12" x14ac:dyDescent="0.3">
      <c r="A45" s="42"/>
      <c r="B45" s="42"/>
      <c r="C45" s="19"/>
      <c r="D45" s="25"/>
      <c r="E45" s="17"/>
      <c r="F45" s="19"/>
      <c r="G45" s="19"/>
      <c r="H45" s="20"/>
      <c r="I45" s="20"/>
      <c r="J45" s="20"/>
    </row>
    <row r="46" spans="1:12" x14ac:dyDescent="0.3">
      <c r="A46" s="42"/>
      <c r="B46" s="42"/>
      <c r="C46" s="19"/>
      <c r="D46" s="25"/>
      <c r="E46" s="17"/>
      <c r="F46" s="19"/>
      <c r="G46" s="19"/>
      <c r="H46" s="20"/>
      <c r="I46" s="20"/>
      <c r="J46" s="20"/>
    </row>
    <row r="47" spans="1:12" x14ac:dyDescent="0.3">
      <c r="A47" s="42"/>
      <c r="B47" s="42"/>
      <c r="C47" s="19"/>
      <c r="D47" s="25"/>
      <c r="E47" s="17"/>
      <c r="F47" s="19"/>
      <c r="G47" s="19"/>
      <c r="H47" s="20"/>
      <c r="I47" s="20"/>
      <c r="J47" s="20"/>
    </row>
    <row r="48" spans="1:12" x14ac:dyDescent="0.3">
      <c r="A48" s="27"/>
      <c r="B48" s="27"/>
      <c r="C48" s="19"/>
      <c r="D48" s="25"/>
      <c r="E48" s="17"/>
      <c r="F48" s="19"/>
      <c r="G48" s="19"/>
      <c r="H48" s="20"/>
      <c r="I48" s="20"/>
    </row>
    <row r="49" spans="1:9" x14ac:dyDescent="0.3">
      <c r="A49" s="27"/>
      <c r="B49" s="27"/>
      <c r="C49" s="19"/>
      <c r="D49" s="25"/>
      <c r="E49" s="17"/>
      <c r="F49" s="19"/>
      <c r="G49" s="19"/>
      <c r="H49" s="20"/>
      <c r="I49" s="20"/>
    </row>
    <row r="50" spans="1:9" x14ac:dyDescent="0.3">
      <c r="A50" s="27"/>
      <c r="B50" s="27"/>
      <c r="C50" s="19"/>
      <c r="D50" s="25"/>
      <c r="E50" s="17"/>
      <c r="F50" s="19"/>
      <c r="G50" s="19"/>
      <c r="H50" s="20"/>
      <c r="I50" s="20"/>
    </row>
    <row r="51" spans="1:9" x14ac:dyDescent="0.3">
      <c r="A51" s="27"/>
      <c r="B51" s="27"/>
      <c r="C51" s="19"/>
      <c r="D51" s="25"/>
      <c r="E51" s="17"/>
      <c r="F51" s="19"/>
      <c r="G51" s="19"/>
      <c r="H51" s="20"/>
      <c r="I51" s="20"/>
    </row>
    <row r="52" spans="1:9" x14ac:dyDescent="0.3">
      <c r="A52" s="27"/>
      <c r="B52" s="27"/>
      <c r="C52" s="19"/>
      <c r="D52" s="25"/>
      <c r="E52" s="17"/>
      <c r="F52" s="19"/>
      <c r="G52" s="19"/>
      <c r="H52" s="20"/>
      <c r="I52" s="20"/>
    </row>
    <row r="53" spans="1:9" x14ac:dyDescent="0.3">
      <c r="A53" s="27"/>
      <c r="B53" s="27"/>
      <c r="C53" s="19"/>
      <c r="D53" s="25"/>
      <c r="E53" s="17"/>
      <c r="F53" s="19"/>
      <c r="G53" s="19"/>
      <c r="H53" s="20"/>
      <c r="I53" s="20"/>
    </row>
    <row r="54" spans="1:9" x14ac:dyDescent="0.3">
      <c r="A54" s="27"/>
      <c r="B54" s="27"/>
      <c r="C54" s="19"/>
      <c r="D54" s="25"/>
      <c r="E54" s="17"/>
      <c r="F54" s="19"/>
      <c r="G54" s="19"/>
      <c r="H54" s="20"/>
      <c r="I54" s="20"/>
    </row>
    <row r="55" spans="1:9" x14ac:dyDescent="0.3">
      <c r="A55" s="27"/>
      <c r="B55" s="27"/>
      <c r="C55" s="19"/>
      <c r="D55" s="25"/>
      <c r="E55" s="17"/>
      <c r="F55" s="19"/>
      <c r="G55" s="19"/>
      <c r="H55" s="20"/>
      <c r="I55" s="20"/>
    </row>
    <row r="56" spans="1:9" x14ac:dyDescent="0.3">
      <c r="A56" s="27"/>
      <c r="B56" s="27"/>
      <c r="C56" s="19"/>
      <c r="D56" s="25"/>
      <c r="E56" s="17"/>
      <c r="F56" s="19"/>
      <c r="G56" s="19"/>
      <c r="H56" s="20"/>
      <c r="I56" s="20"/>
    </row>
    <row r="57" spans="1:9" x14ac:dyDescent="0.3">
      <c r="A57" s="27"/>
      <c r="B57" s="27"/>
      <c r="C57" s="19"/>
      <c r="D57" s="25"/>
      <c r="E57" s="17"/>
      <c r="F57" s="19"/>
      <c r="G57" s="19"/>
      <c r="H57" s="20"/>
      <c r="I57" s="20"/>
    </row>
    <row r="58" spans="1:9" x14ac:dyDescent="0.3">
      <c r="A58" s="27"/>
      <c r="B58" s="27"/>
      <c r="C58" s="19"/>
      <c r="D58" s="25"/>
      <c r="E58" s="17"/>
      <c r="F58" s="19"/>
      <c r="G58" s="19"/>
      <c r="H58" s="20"/>
      <c r="I58" s="20"/>
    </row>
    <row r="59" spans="1:9" x14ac:dyDescent="0.3">
      <c r="A59" s="27"/>
      <c r="B59" s="27"/>
      <c r="C59" s="19"/>
      <c r="D59" s="25"/>
      <c r="E59" s="17"/>
      <c r="F59" s="19"/>
      <c r="G59" s="19"/>
      <c r="H59" s="20"/>
      <c r="I59" s="20"/>
    </row>
    <row r="60" spans="1:9" x14ac:dyDescent="0.3">
      <c r="A60" s="27"/>
      <c r="B60" s="27"/>
      <c r="C60" s="19"/>
      <c r="D60" s="25"/>
      <c r="E60" s="17"/>
      <c r="F60" s="19"/>
      <c r="G60" s="19"/>
      <c r="H60" s="20"/>
      <c r="I60" s="20"/>
    </row>
    <row r="61" spans="1:9" x14ac:dyDescent="0.3">
      <c r="A61" s="27"/>
      <c r="B61" s="27"/>
      <c r="C61" s="19"/>
      <c r="D61" s="25"/>
      <c r="E61" s="17"/>
      <c r="F61" s="19"/>
      <c r="G61" s="19"/>
      <c r="H61" s="20"/>
      <c r="I61" s="20"/>
    </row>
    <row r="62" spans="1:9" x14ac:dyDescent="0.3">
      <c r="A62" s="27"/>
      <c r="B62" s="27"/>
      <c r="C62" s="19"/>
      <c r="D62" s="25"/>
      <c r="E62" s="17"/>
      <c r="F62" s="19"/>
      <c r="G62" s="19"/>
      <c r="H62" s="20"/>
      <c r="I62" s="20"/>
    </row>
    <row r="63" spans="1:9" x14ac:dyDescent="0.3">
      <c r="A63" s="27"/>
      <c r="B63" s="27"/>
      <c r="C63" s="19"/>
      <c r="D63" s="25"/>
      <c r="E63" s="17"/>
      <c r="F63" s="19"/>
      <c r="G63" s="19"/>
      <c r="H63" s="20"/>
      <c r="I63" s="20"/>
    </row>
    <row r="64" spans="1:9" x14ac:dyDescent="0.3">
      <c r="A64" s="27"/>
      <c r="B64" s="27"/>
      <c r="C64" s="19"/>
      <c r="D64" s="25"/>
      <c r="E64" s="17"/>
      <c r="F64" s="19"/>
      <c r="G64" s="19"/>
      <c r="H64" s="20"/>
      <c r="I64" s="20"/>
    </row>
    <row r="65" spans="1:9" x14ac:dyDescent="0.3">
      <c r="A65" s="27"/>
      <c r="B65" s="27"/>
      <c r="C65" s="19"/>
      <c r="D65" s="25"/>
      <c r="E65" s="17"/>
      <c r="F65" s="19"/>
      <c r="G65" s="19"/>
      <c r="H65" s="20"/>
      <c r="I65" s="20"/>
    </row>
    <row r="66" spans="1:9" x14ac:dyDescent="0.3">
      <c r="A66" s="27"/>
      <c r="B66" s="27"/>
      <c r="C66" s="19"/>
      <c r="D66" s="25"/>
      <c r="E66" s="17"/>
      <c r="F66" s="19"/>
      <c r="G66" s="19"/>
      <c r="H66" s="20"/>
      <c r="I66" s="20"/>
    </row>
    <row r="67" spans="1:9" x14ac:dyDescent="0.3">
      <c r="A67" s="27"/>
      <c r="B67" s="27"/>
      <c r="C67" s="19"/>
      <c r="D67" s="25"/>
      <c r="E67" s="17"/>
      <c r="F67" s="19"/>
      <c r="G67" s="19"/>
      <c r="H67" s="20"/>
      <c r="I67" s="20"/>
    </row>
    <row r="68" spans="1:9" x14ac:dyDescent="0.3">
      <c r="A68" s="27"/>
      <c r="B68" s="27"/>
      <c r="C68" s="19"/>
      <c r="D68" s="25"/>
      <c r="E68" s="17"/>
      <c r="F68" s="19"/>
      <c r="G68" s="19"/>
      <c r="H68" s="20"/>
      <c r="I68" s="20"/>
    </row>
    <row r="69" spans="1:9" x14ac:dyDescent="0.3">
      <c r="A69" s="27"/>
      <c r="B69" s="27"/>
      <c r="C69" s="19"/>
      <c r="D69" s="25"/>
      <c r="E69" s="17"/>
      <c r="F69" s="19"/>
      <c r="G69" s="19"/>
      <c r="H69" s="20"/>
      <c r="I69" s="20"/>
    </row>
    <row r="70" spans="1:9" x14ac:dyDescent="0.3">
      <c r="A70" s="27"/>
      <c r="B70" s="27"/>
      <c r="C70" s="19"/>
      <c r="D70" s="25"/>
      <c r="E70" s="17"/>
      <c r="F70" s="19"/>
      <c r="G70" s="19"/>
      <c r="H70" s="20"/>
      <c r="I70" s="20"/>
    </row>
    <row r="71" spans="1:9" x14ac:dyDescent="0.3">
      <c r="A71" s="27"/>
      <c r="B71" s="27"/>
      <c r="C71" s="19"/>
      <c r="D71" s="25"/>
      <c r="E71" s="17"/>
      <c r="F71" s="19"/>
      <c r="G71" s="19"/>
      <c r="H71" s="20"/>
      <c r="I71" s="20"/>
    </row>
    <row r="72" spans="1:9" x14ac:dyDescent="0.3">
      <c r="A72" s="27"/>
      <c r="B72" s="27"/>
      <c r="C72" s="19"/>
      <c r="D72" s="25"/>
      <c r="E72" s="17"/>
      <c r="F72" s="19"/>
      <c r="G72" s="19"/>
      <c r="H72" s="20"/>
      <c r="I72" s="20"/>
    </row>
    <row r="73" spans="1:9" x14ac:dyDescent="0.3">
      <c r="A73" s="27"/>
      <c r="B73" s="27"/>
      <c r="C73" s="19"/>
      <c r="D73" s="25"/>
      <c r="E73" s="17"/>
      <c r="F73" s="19"/>
      <c r="G73" s="19"/>
      <c r="H73" s="20"/>
      <c r="I73" s="20"/>
    </row>
    <row r="74" spans="1:9" x14ac:dyDescent="0.3">
      <c r="A74" s="27"/>
      <c r="B74" s="27"/>
      <c r="C74" s="19"/>
      <c r="D74" s="25"/>
      <c r="E74" s="17"/>
      <c r="F74" s="19"/>
      <c r="G74" s="19"/>
      <c r="H74" s="20"/>
      <c r="I74" s="20"/>
    </row>
    <row r="75" spans="1:9" x14ac:dyDescent="0.3">
      <c r="A75" s="27"/>
      <c r="B75" s="27"/>
      <c r="C75" s="19"/>
      <c r="D75" s="25"/>
      <c r="E75" s="17"/>
      <c r="F75" s="19"/>
      <c r="G75" s="19"/>
      <c r="H75" s="20"/>
      <c r="I75" s="20"/>
    </row>
    <row r="76" spans="1:9" x14ac:dyDescent="0.3">
      <c r="A76" s="27"/>
      <c r="B76" s="27"/>
      <c r="C76" s="19"/>
      <c r="D76" s="25"/>
      <c r="E76" s="17"/>
      <c r="F76" s="19"/>
      <c r="G76" s="19"/>
      <c r="H76" s="20"/>
      <c r="I76" s="20"/>
    </row>
    <row r="77" spans="1:9" x14ac:dyDescent="0.3">
      <c r="A77" s="27"/>
      <c r="B77" s="27"/>
      <c r="C77" s="19"/>
      <c r="D77" s="25"/>
      <c r="E77" s="17"/>
      <c r="F77" s="19"/>
      <c r="G77" s="19"/>
      <c r="H77" s="20"/>
      <c r="I77" s="20"/>
    </row>
    <row r="78" spans="1:9" x14ac:dyDescent="0.3">
      <c r="A78" s="27"/>
      <c r="B78" s="27"/>
      <c r="C78" s="19"/>
      <c r="D78" s="25"/>
      <c r="E78" s="17"/>
      <c r="F78" s="19"/>
      <c r="G78" s="19"/>
      <c r="H78" s="20"/>
      <c r="I78" s="20"/>
    </row>
    <row r="79" spans="1:9" x14ac:dyDescent="0.3">
      <c r="A79" s="27"/>
      <c r="B79" s="27"/>
      <c r="C79" s="19"/>
      <c r="D79" s="25"/>
      <c r="E79" s="17"/>
      <c r="F79" s="19"/>
      <c r="G79" s="19"/>
      <c r="H79" s="20"/>
      <c r="I79" s="20"/>
    </row>
    <row r="80" spans="1:9" x14ac:dyDescent="0.3">
      <c r="A80" s="27"/>
      <c r="B80" s="27"/>
      <c r="C80" s="19"/>
      <c r="D80" s="25"/>
      <c r="E80" s="17"/>
      <c r="F80" s="19"/>
      <c r="G80" s="19"/>
      <c r="H80" s="20"/>
      <c r="I80" s="20"/>
    </row>
    <row r="81" spans="1:9" x14ac:dyDescent="0.3">
      <c r="A81" s="27"/>
      <c r="B81" s="27"/>
      <c r="C81" s="19"/>
      <c r="D81" s="25"/>
      <c r="E81" s="17"/>
      <c r="F81" s="19"/>
      <c r="G81" s="19"/>
      <c r="H81" s="20"/>
      <c r="I81" s="20"/>
    </row>
    <row r="82" spans="1:9" x14ac:dyDescent="0.3">
      <c r="A82" s="27"/>
      <c r="B82" s="27"/>
      <c r="C82" s="19"/>
      <c r="D82" s="25"/>
      <c r="E82" s="17"/>
      <c r="F82" s="19"/>
      <c r="G82" s="19"/>
      <c r="H82" s="20"/>
      <c r="I82" s="20"/>
    </row>
    <row r="83" spans="1:9" x14ac:dyDescent="0.3">
      <c r="A83" s="27"/>
      <c r="B83" s="27"/>
      <c r="C83" s="19"/>
      <c r="D83" s="25"/>
      <c r="E83" s="17"/>
      <c r="F83" s="19"/>
      <c r="G83" s="19"/>
      <c r="H83" s="20"/>
      <c r="I83" s="20"/>
    </row>
    <row r="84" spans="1:9" x14ac:dyDescent="0.3">
      <c r="A84" s="27"/>
      <c r="B84" s="27"/>
      <c r="C84" s="19"/>
      <c r="D84" s="25"/>
      <c r="E84" s="17"/>
      <c r="F84" s="19"/>
      <c r="G84" s="19"/>
      <c r="H84" s="20"/>
      <c r="I84" s="20"/>
    </row>
    <row r="85" spans="1:9" x14ac:dyDescent="0.3">
      <c r="A85" s="27"/>
      <c r="B85" s="27"/>
      <c r="C85" s="19"/>
      <c r="D85" s="25"/>
      <c r="E85" s="17"/>
      <c r="F85" s="19"/>
      <c r="G85" s="19"/>
      <c r="H85" s="20"/>
      <c r="I85" s="20"/>
    </row>
    <row r="86" spans="1:9" x14ac:dyDescent="0.3">
      <c r="A86" s="27"/>
      <c r="B86" s="27"/>
      <c r="C86" s="19"/>
      <c r="D86" s="25"/>
      <c r="E86" s="17"/>
      <c r="F86" s="19"/>
      <c r="G86" s="19"/>
      <c r="H86" s="20"/>
      <c r="I86" s="20"/>
    </row>
    <row r="87" spans="1:9" x14ac:dyDescent="0.3">
      <c r="A87" s="27"/>
      <c r="B87" s="27"/>
      <c r="C87" s="19"/>
      <c r="D87" s="25"/>
      <c r="E87" s="17"/>
      <c r="F87" s="19"/>
      <c r="G87" s="19"/>
      <c r="H87" s="20"/>
      <c r="I87" s="20"/>
    </row>
    <row r="88" spans="1:9" x14ac:dyDescent="0.3">
      <c r="A88" s="27"/>
      <c r="B88" s="27"/>
      <c r="C88" s="19"/>
      <c r="D88" s="25"/>
      <c r="E88" s="17"/>
      <c r="F88" s="19"/>
      <c r="G88" s="19"/>
      <c r="H88" s="20"/>
      <c r="I88" s="20"/>
    </row>
    <row r="89" spans="1:9" x14ac:dyDescent="0.3">
      <c r="A89" s="27"/>
      <c r="B89" s="27"/>
      <c r="C89" s="19"/>
      <c r="D89" s="25"/>
      <c r="E89" s="17"/>
      <c r="F89" s="19"/>
      <c r="G89" s="19"/>
      <c r="H89" s="20"/>
      <c r="I89" s="20"/>
    </row>
    <row r="90" spans="1:9" x14ac:dyDescent="0.3">
      <c r="A90" s="27"/>
      <c r="B90" s="27"/>
      <c r="C90" s="19"/>
      <c r="D90" s="25"/>
      <c r="E90" s="17"/>
      <c r="F90" s="19"/>
      <c r="G90" s="19"/>
      <c r="H90" s="20"/>
      <c r="I90" s="20"/>
    </row>
    <row r="91" spans="1:9" x14ac:dyDescent="0.3">
      <c r="A91" s="27"/>
      <c r="B91" s="27"/>
      <c r="C91" s="19"/>
      <c r="D91" s="25"/>
      <c r="E91" s="17"/>
      <c r="F91" s="19"/>
      <c r="G91" s="19"/>
      <c r="H91" s="20"/>
      <c r="I91" s="20"/>
    </row>
    <row r="92" spans="1:9" x14ac:dyDescent="0.3">
      <c r="A92" s="27"/>
      <c r="B92" s="27"/>
      <c r="C92" s="19"/>
      <c r="D92" s="25"/>
      <c r="E92" s="17"/>
      <c r="F92" s="19"/>
      <c r="G92" s="19"/>
      <c r="H92" s="20"/>
      <c r="I92" s="20"/>
    </row>
    <row r="93" spans="1:9" x14ac:dyDescent="0.3">
      <c r="A93" s="27"/>
      <c r="B93" s="27"/>
      <c r="C93" s="19"/>
      <c r="D93" s="25"/>
      <c r="E93" s="17"/>
      <c r="F93" s="19"/>
      <c r="G93" s="19"/>
      <c r="H93" s="20"/>
      <c r="I93" s="20"/>
    </row>
    <row r="94" spans="1:9" x14ac:dyDescent="0.3">
      <c r="A94" s="27"/>
      <c r="B94" s="27"/>
      <c r="C94" s="19"/>
      <c r="D94" s="25"/>
      <c r="E94" s="17"/>
      <c r="F94" s="19"/>
      <c r="G94" s="19"/>
      <c r="H94" s="20"/>
      <c r="I94" s="20"/>
    </row>
    <row r="95" spans="1:9" x14ac:dyDescent="0.3">
      <c r="A95" s="27"/>
      <c r="B95" s="27"/>
      <c r="C95" s="19"/>
      <c r="D95" s="25"/>
      <c r="E95" s="17"/>
      <c r="F95" s="19"/>
      <c r="G95" s="19"/>
      <c r="H95" s="20"/>
      <c r="I95" s="20"/>
    </row>
    <row r="96" spans="1:9" x14ac:dyDescent="0.3">
      <c r="A96" s="27"/>
      <c r="B96" s="27"/>
      <c r="C96" s="19"/>
      <c r="D96" s="25"/>
      <c r="E96" s="17"/>
      <c r="F96" s="19"/>
      <c r="G96" s="19"/>
      <c r="H96" s="20"/>
      <c r="I96" s="20"/>
    </row>
    <row r="97" spans="1:9" x14ac:dyDescent="0.3">
      <c r="A97" s="27"/>
      <c r="B97" s="27"/>
      <c r="C97" s="19"/>
      <c r="D97" s="25"/>
      <c r="E97" s="17"/>
      <c r="F97" s="19"/>
      <c r="G97" s="19"/>
      <c r="H97" s="20"/>
      <c r="I97" s="20"/>
    </row>
    <row r="98" spans="1:9" x14ac:dyDescent="0.3">
      <c r="C98" s="28"/>
      <c r="E98" s="28"/>
      <c r="F98" s="28"/>
      <c r="G98" s="20"/>
      <c r="H98" s="20"/>
      <c r="I98" s="20"/>
    </row>
    <row r="99" spans="1:9" x14ac:dyDescent="0.3">
      <c r="C99" s="28"/>
      <c r="E99" s="28"/>
      <c r="F99" s="28"/>
      <c r="G99" s="20"/>
      <c r="H99" s="20"/>
      <c r="I99" s="20"/>
    </row>
  </sheetData>
  <mergeCells count="84">
    <mergeCell ref="I34:J34"/>
    <mergeCell ref="K34:L34"/>
    <mergeCell ref="I35:J35"/>
    <mergeCell ref="K35:L35"/>
    <mergeCell ref="A42:B42"/>
    <mergeCell ref="I36:J36"/>
    <mergeCell ref="K36:L36"/>
    <mergeCell ref="I37:J37"/>
    <mergeCell ref="K37:L37"/>
    <mergeCell ref="A38:D38"/>
    <mergeCell ref="A39:B39"/>
    <mergeCell ref="C39:D39"/>
    <mergeCell ref="E39:F39"/>
    <mergeCell ref="G39:H39"/>
    <mergeCell ref="I31:J31"/>
    <mergeCell ref="K31:L31"/>
    <mergeCell ref="I32:J32"/>
    <mergeCell ref="K32:L32"/>
    <mergeCell ref="I33:J33"/>
    <mergeCell ref="K33:L33"/>
    <mergeCell ref="I28:J28"/>
    <mergeCell ref="K28:L28"/>
    <mergeCell ref="I29:J29"/>
    <mergeCell ref="K29:L29"/>
    <mergeCell ref="I30:J30"/>
    <mergeCell ref="K30:L30"/>
    <mergeCell ref="I25:J25"/>
    <mergeCell ref="K25:L25"/>
    <mergeCell ref="I26:J26"/>
    <mergeCell ref="K26:L26"/>
    <mergeCell ref="I27:J27"/>
    <mergeCell ref="K27:L27"/>
    <mergeCell ref="I22:J22"/>
    <mergeCell ref="K22:L22"/>
    <mergeCell ref="I23:J23"/>
    <mergeCell ref="K23:L23"/>
    <mergeCell ref="I24:J24"/>
    <mergeCell ref="K24:L24"/>
    <mergeCell ref="I19:J19"/>
    <mergeCell ref="K19:L19"/>
    <mergeCell ref="I20:J20"/>
    <mergeCell ref="K20:L20"/>
    <mergeCell ref="I21:J21"/>
    <mergeCell ref="K21:L21"/>
    <mergeCell ref="I16:J16"/>
    <mergeCell ref="K16:L16"/>
    <mergeCell ref="I17:J17"/>
    <mergeCell ref="K17:L17"/>
    <mergeCell ref="I18:J18"/>
    <mergeCell ref="K18:L18"/>
    <mergeCell ref="I13:J13"/>
    <mergeCell ref="K13:L13"/>
    <mergeCell ref="I14:J14"/>
    <mergeCell ref="K14:L14"/>
    <mergeCell ref="I15:J15"/>
    <mergeCell ref="K15:L15"/>
    <mergeCell ref="I10:J10"/>
    <mergeCell ref="K10:L10"/>
    <mergeCell ref="I11:J11"/>
    <mergeCell ref="K11:L11"/>
    <mergeCell ref="I12:J12"/>
    <mergeCell ref="K12:L12"/>
    <mergeCell ref="I6:J7"/>
    <mergeCell ref="K6:L7"/>
    <mergeCell ref="I8:J8"/>
    <mergeCell ref="K8:L8"/>
    <mergeCell ref="I9:J9"/>
    <mergeCell ref="K9:L9"/>
    <mergeCell ref="F6:F7"/>
    <mergeCell ref="A1:L1"/>
    <mergeCell ref="A2:L2"/>
    <mergeCell ref="A3:C3"/>
    <mergeCell ref="E3:F3"/>
    <mergeCell ref="G3:H3"/>
    <mergeCell ref="A4:C4"/>
    <mergeCell ref="E4:F4"/>
    <mergeCell ref="G4:H4"/>
    <mergeCell ref="A6:A7"/>
    <mergeCell ref="B6:B7"/>
    <mergeCell ref="C6:C7"/>
    <mergeCell ref="D6:D7"/>
    <mergeCell ref="E6:E7"/>
    <mergeCell ref="G6:G7"/>
    <mergeCell ref="H6:H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2015-04-08T06:22:26Z</dcterms:modified>
</cp:coreProperties>
</file>