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Info!$B$1:$N$3</definedName>
    <definedName name="_xlnm.Print_Area" localSheetId="2">REPORTE!$A$1:$N$38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G27" i="6" l="1"/>
  <c r="G11" i="6"/>
  <c r="K8" i="6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SERVER=localhost;UID=root;DATABASE=cservicio;PORT=3306_x0000_" command="SELECT _x000a_a.`zona`,_x000a_a.`sector`,_x000a_a.`codigo`,_x000a_a.`nombres`,_x000a_b.`cajas`,_x000a_b.`cod`,_x000a_b.`pod`,_x000a_b.`comentarios`,_x000a_c.`solicitante`,_x000a_d.`descripcion`,_x000a_c.`fecha_despachado`,_x000a_ c.`autorizacion`,_x000a_b.monto_facturado_x000a_FROM _x000a_consejeras  a_x000a__x000a_ INNER JOIN pedidos b ON b.`codigo`  = a.`codigo`  INNER JOIN solicitudes c ON c.`pedido_id` = b.id _x000a_INNER JOIN buzones d ON d.`id` = c.`buzon_id`_x000a_WHERE c.estado = 2 AND c.`tipo_solicitud` = 3 AND DATE(c.`fecha_despachado`) = '2015-04-26' AND  a.zona = 205 AND b.campania = 2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<sst xmlns="http://schemas.openxmlformats.org/spreadsheetml/2006/main" count="83" uniqueCount="44">
  <si>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</si>
  <si>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</si>
  <si>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</si>
  <si>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</si>
  <si>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</si>
  <si>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</si>
  <si>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</si>
  <si>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</si>
  <si>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ENVIO DE PEDIDOS POR BUZON A&amp;S</t>
  </si>
  <si>
    <t>CENTRO DE SERVICIO -  AVON</t>
  </si>
  <si>
    <t>S</t>
  </si>
  <si>
    <t>FECHA</t>
  </si>
  <si>
    <t>descripcion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</si>
  <si>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</si>
  <si>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</si>
  <si>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</si>
  <si>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</si>
  <si>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</si>
  <si>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</si>
  <si>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</si>
  <si>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</si>
  <si>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</si>
  <si>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</si>
  <si>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</si>
  <si>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</si>
  <si>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FLETE</t>
  </si>
  <si>
    <t>A SOLICITUD DE</t>
  </si>
  <si>
    <t>BUZON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</si>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</sst>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 wrapText="1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  <xdr:twoCellAnchor>
    <xdr:from>
      <xdr:col>14</xdr:col>
      <xdr:colOff>317500</xdr:colOff>
      <xdr:row>0</xdr:row>
      <xdr:rowOff>116417</xdr:rowOff>
    </xdr:from>
    <xdr:to>
      <xdr:col>15</xdr:col>
      <xdr:colOff>645583</xdr:colOff>
      <xdr:row>2</xdr:row>
      <xdr:rowOff>63500</xdr:rowOff>
    </xdr:to>
    <xdr:sp macro="[0]!GuardarHoja" textlink="">
      <xdr:nvSpPr>
        <xdr:cNvPr id="2" name="Rectangle 1"/>
        <xdr:cNvSpPr/>
      </xdr:nvSpPr>
      <xdr:spPr>
        <a:xfrm>
          <a:off x="12594167" y="116417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descripcion"/>
      <queryTableField id="11" name="fecha_despachado"/>
      <queryTableField id="12" name="autorizacion"/>
      <queryTableField id="13" name="monto_facturado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1.140625" customWidth="1"/>
    <col min="12" max="12" width="17.7109375" customWidth="1"/>
    <col min="13" max="13" width="11.85546875" bestFit="1" customWidth="1"/>
    <col min="14" max="14" width="16.42578125" bestFit="1" customWidth="1"/>
  </cols>
  <sheetData>
    <row r="1" spans="1:14" x14ac:dyDescent="0.25">
      <c r="A1" t="s">
        <v>40</v>
      </c>
      <c r="B1" s="1" t="s">
        <v>31</v>
      </c>
      <c r="C1" s="1" t="s">
        <v>32</v>
      </c>
      <c r="D1" s="1" t="s">
        <v>30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12</v>
      </c>
      <c r="L1" s="1" t="s">
        <v>39</v>
      </c>
      <c r="M1" s="1" t="s">
        <v>41</v>
      </c>
      <c r="N1" s="1" t="s">
        <v>42</v>
      </c>
    </row>
    <row r="2" spans="1:14" x14ac:dyDescent="0.25">
      <c r="A2">
        <v>1</v>
      </c>
      <c r="L2" s="11"/>
    </row>
    <row r="3" spans="1:14" x14ac:dyDescent="0.25">
      <c r="A3" t="str">
        <f>IF(B3&gt;0,A2+1,"")</f>
        <v/>
      </c>
      <c r="L3" s="11"/>
    </row>
    <row r="4" spans="1:14" x14ac:dyDescent="0.25">
      <c r="A4" t="str">
        <f t="shared" ref="A4:A67" si="0">IF(B4&gt;0,A3+1,"")</f>
        <v/>
      </c>
      <c r="L4" s="11"/>
    </row>
    <row r="5" spans="1:14" x14ac:dyDescent="0.25">
      <c r="A5" t="str">
        <f t="shared" si="0"/>
        <v/>
      </c>
      <c r="L5" s="11"/>
    </row>
    <row r="6" spans="1:14" x14ac:dyDescent="0.25">
      <c r="A6" t="str">
        <f t="shared" si="0"/>
        <v/>
      </c>
      <c r="L6" s="11"/>
    </row>
    <row r="7" spans="1:14" x14ac:dyDescent="0.25">
      <c r="A7" t="str">
        <f t="shared" si="0"/>
        <v/>
      </c>
      <c r="L7" s="11"/>
    </row>
    <row r="8" spans="1:14" x14ac:dyDescent="0.25">
      <c r="A8" t="str">
        <f t="shared" si="0"/>
        <v/>
      </c>
      <c r="L8" s="11"/>
    </row>
    <row r="9" spans="1:14" x14ac:dyDescent="0.25">
      <c r="A9" t="str">
        <f t="shared" si="0"/>
        <v/>
      </c>
      <c r="L9" s="11"/>
    </row>
    <row r="10" spans="1:14" x14ac:dyDescent="0.25">
      <c r="A10" t="str">
        <f t="shared" si="0"/>
        <v/>
      </c>
      <c r="L10" s="11"/>
    </row>
    <row r="11" spans="1:14" x14ac:dyDescent="0.25">
      <c r="A11" t="str">
        <f t="shared" si="0"/>
        <v/>
      </c>
      <c r="L11" s="11"/>
    </row>
    <row r="12" spans="1:14" x14ac:dyDescent="0.25">
      <c r="A12" t="str">
        <f t="shared" si="0"/>
        <v/>
      </c>
      <c r="L12" s="11"/>
    </row>
    <row r="13" spans="1:14" x14ac:dyDescent="0.25">
      <c r="A13" t="str">
        <f t="shared" si="0"/>
        <v/>
      </c>
      <c r="L13" s="11"/>
    </row>
    <row r="14" spans="1:14" x14ac:dyDescent="0.25">
      <c r="A14" t="str">
        <f t="shared" si="0"/>
        <v/>
      </c>
      <c r="L14" s="11"/>
    </row>
    <row r="15" spans="1:14" x14ac:dyDescent="0.25">
      <c r="A15" t="str">
        <f t="shared" si="0"/>
        <v/>
      </c>
      <c r="L15" s="11"/>
    </row>
    <row r="16" spans="1:14" x14ac:dyDescent="0.25">
      <c r="A16" t="str">
        <f t="shared" si="0"/>
        <v/>
      </c>
      <c r="L16" s="11"/>
    </row>
    <row r="17" spans="1:12" x14ac:dyDescent="0.25">
      <c r="A17" t="str">
        <f t="shared" si="0"/>
        <v/>
      </c>
      <c r="L17" s="11"/>
    </row>
    <row r="18" spans="1:12" x14ac:dyDescent="0.25">
      <c r="A18" t="str">
        <f t="shared" si="0"/>
        <v/>
      </c>
      <c r="L18" s="11"/>
    </row>
    <row r="19" spans="1:12" x14ac:dyDescent="0.25">
      <c r="A19" t="str">
        <f t="shared" si="0"/>
        <v/>
      </c>
      <c r="L19" s="11"/>
    </row>
    <row r="20" spans="1:12" x14ac:dyDescent="0.25">
      <c r="A20" t="str">
        <f t="shared" si="0"/>
        <v/>
      </c>
      <c r="L20" s="11"/>
    </row>
    <row r="21" spans="1:12" x14ac:dyDescent="0.25">
      <c r="A21" t="str">
        <f t="shared" si="0"/>
        <v/>
      </c>
      <c r="L21" s="11"/>
    </row>
    <row r="22" spans="1:12" x14ac:dyDescent="0.25">
      <c r="A22" t="str">
        <f t="shared" si="0"/>
        <v/>
      </c>
      <c r="L22" s="11"/>
    </row>
    <row r="23" spans="1:12" x14ac:dyDescent="0.25">
      <c r="A23" t="str">
        <f t="shared" si="0"/>
        <v/>
      </c>
      <c r="L23" s="11"/>
    </row>
    <row r="24" spans="1:12" x14ac:dyDescent="0.25">
      <c r="A24" t="str">
        <f t="shared" si="0"/>
        <v/>
      </c>
      <c r="L24" s="11"/>
    </row>
    <row r="25" spans="1:12" x14ac:dyDescent="0.25">
      <c r="A25" t="str">
        <f t="shared" si="0"/>
        <v/>
      </c>
      <c r="L25" s="11"/>
    </row>
    <row r="26" spans="1:12" x14ac:dyDescent="0.25">
      <c r="A26" t="str">
        <f t="shared" si="0"/>
        <v/>
      </c>
      <c r="L26" s="11"/>
    </row>
    <row r="27" spans="1:12" x14ac:dyDescent="0.25">
      <c r="A27" t="str">
        <f t="shared" si="0"/>
        <v/>
      </c>
      <c r="L27" s="11"/>
    </row>
    <row r="28" spans="1:12" x14ac:dyDescent="0.25">
      <c r="A28" t="str">
        <f t="shared" si="0"/>
        <v/>
      </c>
      <c r="L28" s="11"/>
    </row>
    <row r="29" spans="1:12" x14ac:dyDescent="0.25">
      <c r="A29" t="str">
        <f t="shared" si="0"/>
        <v/>
      </c>
      <c r="L29" s="11"/>
    </row>
    <row r="30" spans="1:12" x14ac:dyDescent="0.25">
      <c r="A30" t="str">
        <f t="shared" si="0"/>
        <v/>
      </c>
      <c r="L30" s="11"/>
    </row>
    <row r="31" spans="1:12" x14ac:dyDescent="0.25">
      <c r="A31" t="str">
        <f t="shared" si="0"/>
        <v/>
      </c>
      <c r="L31" s="11"/>
    </row>
    <row r="32" spans="1:12" x14ac:dyDescent="0.25">
      <c r="A32" t="str">
        <f t="shared" si="0"/>
        <v/>
      </c>
      <c r="L32" s="11"/>
    </row>
    <row r="33" spans="1:12" x14ac:dyDescent="0.25">
      <c r="A33" t="str">
        <f t="shared" si="0"/>
        <v/>
      </c>
      <c r="L33" s="11"/>
    </row>
    <row r="34" spans="1:12" x14ac:dyDescent="0.25">
      <c r="A34" t="str">
        <f t="shared" si="0"/>
        <v/>
      </c>
      <c r="L34" s="11"/>
    </row>
    <row r="35" spans="1:12" x14ac:dyDescent="0.25">
      <c r="A35" t="str">
        <f t="shared" si="0"/>
        <v/>
      </c>
      <c r="L35" s="11"/>
    </row>
    <row r="36" spans="1:12" x14ac:dyDescent="0.25">
      <c r="A36" t="str">
        <f t="shared" si="0"/>
        <v/>
      </c>
      <c r="L36" s="11"/>
    </row>
    <row r="37" spans="1:12" x14ac:dyDescent="0.25">
      <c r="A37" t="str">
        <f t="shared" si="0"/>
        <v/>
      </c>
      <c r="L37" s="11"/>
    </row>
    <row r="38" spans="1:12" x14ac:dyDescent="0.25">
      <c r="A38" t="str">
        <f t="shared" si="0"/>
        <v/>
      </c>
      <c r="L38" s="11"/>
    </row>
    <row r="39" spans="1:12" x14ac:dyDescent="0.25">
      <c r="A39" t="str">
        <f t="shared" si="0"/>
        <v/>
      </c>
      <c r="L39" s="11"/>
    </row>
    <row r="40" spans="1:12" x14ac:dyDescent="0.25">
      <c r="A40" t="str">
        <f t="shared" si="0"/>
        <v/>
      </c>
      <c r="L40" s="11"/>
    </row>
    <row r="41" spans="1:12" x14ac:dyDescent="0.25">
      <c r="A41" t="str">
        <f t="shared" si="0"/>
        <v/>
      </c>
      <c r="L41" s="11"/>
    </row>
    <row r="42" spans="1:12" x14ac:dyDescent="0.25">
      <c r="A42" t="str">
        <f t="shared" si="0"/>
        <v/>
      </c>
      <c r="L42" s="11"/>
    </row>
    <row r="43" spans="1:12" x14ac:dyDescent="0.25">
      <c r="A43" t="str">
        <f t="shared" si="0"/>
        <v/>
      </c>
      <c r="L43" s="11"/>
    </row>
    <row r="44" spans="1:12" x14ac:dyDescent="0.25">
      <c r="A44" t="str">
        <f t="shared" si="0"/>
        <v/>
      </c>
      <c r="L44" s="11"/>
    </row>
    <row r="45" spans="1:12" x14ac:dyDescent="0.25">
      <c r="A45" t="str">
        <f t="shared" si="0"/>
        <v/>
      </c>
      <c r="L45" s="11"/>
    </row>
    <row r="46" spans="1:12" x14ac:dyDescent="0.25">
      <c r="A46" t="str">
        <f t="shared" si="0"/>
        <v/>
      </c>
      <c r="L46" s="11"/>
    </row>
    <row r="47" spans="1:12" x14ac:dyDescent="0.25">
      <c r="A47" t="str">
        <f t="shared" si="0"/>
        <v/>
      </c>
      <c r="L47" s="11"/>
    </row>
    <row r="48" spans="1:12" x14ac:dyDescent="0.25">
      <c r="A48" t="str">
        <f t="shared" si="0"/>
        <v/>
      </c>
      <c r="L48" s="11"/>
    </row>
    <row r="49" spans="1:12" x14ac:dyDescent="0.25">
      <c r="A49" t="str">
        <f t="shared" si="0"/>
        <v/>
      </c>
      <c r="L49" s="11"/>
    </row>
    <row r="50" spans="1:12" x14ac:dyDescent="0.25">
      <c r="A50" t="str">
        <f t="shared" si="0"/>
        <v/>
      </c>
      <c r="L50" s="11"/>
    </row>
    <row r="51" spans="1:12" x14ac:dyDescent="0.25">
      <c r="A51" t="str">
        <f t="shared" si="0"/>
        <v/>
      </c>
      <c r="L51" s="11"/>
    </row>
    <row r="52" spans="1:12" x14ac:dyDescent="0.25">
      <c r="A52" t="str">
        <f t="shared" si="0"/>
        <v/>
      </c>
      <c r="L52" s="11"/>
    </row>
    <row r="53" spans="1:12" x14ac:dyDescent="0.25">
      <c r="A53" t="str">
        <f t="shared" si="0"/>
        <v/>
      </c>
      <c r="L53" s="11"/>
    </row>
    <row r="54" spans="1:12" x14ac:dyDescent="0.25">
      <c r="A54" t="str">
        <f t="shared" si="0"/>
        <v/>
      </c>
      <c r="L54" s="11"/>
    </row>
    <row r="55" spans="1:12" x14ac:dyDescent="0.25">
      <c r="A55" t="str">
        <f t="shared" si="0"/>
        <v/>
      </c>
      <c r="L55" s="11"/>
    </row>
    <row r="56" spans="1:12" x14ac:dyDescent="0.25">
      <c r="A56" t="str">
        <f t="shared" si="0"/>
        <v/>
      </c>
      <c r="L56" s="11"/>
    </row>
    <row r="57" spans="1:12" x14ac:dyDescent="0.25">
      <c r="A57" t="str">
        <f t="shared" si="0"/>
        <v/>
      </c>
      <c r="L57" s="11"/>
    </row>
    <row r="58" spans="1:12" x14ac:dyDescent="0.25">
      <c r="A58" t="str">
        <f t="shared" si="0"/>
        <v/>
      </c>
      <c r="L58" s="11"/>
    </row>
    <row r="59" spans="1:12" x14ac:dyDescent="0.25">
      <c r="A59" t="str">
        <f t="shared" si="0"/>
        <v/>
      </c>
      <c r="L59" s="11"/>
    </row>
    <row r="60" spans="1:12" x14ac:dyDescent="0.25">
      <c r="A60" t="str">
        <f t="shared" si="0"/>
        <v/>
      </c>
      <c r="L60" s="11"/>
    </row>
    <row r="61" spans="1:12" x14ac:dyDescent="0.25">
      <c r="A61" t="str">
        <f t="shared" si="0"/>
        <v/>
      </c>
      <c r="L61" s="11"/>
    </row>
    <row r="62" spans="1:12" x14ac:dyDescent="0.25">
      <c r="A62" t="str">
        <f t="shared" si="0"/>
        <v/>
      </c>
      <c r="L62" s="11"/>
    </row>
    <row r="63" spans="1:12" x14ac:dyDescent="0.25">
      <c r="A63" t="str">
        <f t="shared" si="0"/>
        <v/>
      </c>
      <c r="L63" s="11"/>
    </row>
    <row r="64" spans="1:12" x14ac:dyDescent="0.25">
      <c r="A64" t="str">
        <f t="shared" si="0"/>
        <v/>
      </c>
      <c r="L64" s="11"/>
    </row>
    <row r="65" spans="1:12" x14ac:dyDescent="0.25">
      <c r="A65" t="str">
        <f t="shared" si="0"/>
        <v/>
      </c>
      <c r="L65" s="11"/>
    </row>
    <row r="66" spans="1:12" x14ac:dyDescent="0.25">
      <c r="A66" t="str">
        <f t="shared" si="0"/>
        <v/>
      </c>
      <c r="L66" s="11"/>
    </row>
    <row r="67" spans="1:12" x14ac:dyDescent="0.25">
      <c r="A67" t="str">
        <f t="shared" si="0"/>
        <v/>
      </c>
      <c r="L67" s="11"/>
    </row>
    <row r="68" spans="1:12" x14ac:dyDescent="0.25">
      <c r="A68" t="str">
        <f t="shared" ref="A68:A131" si="1">IF(B68&gt;0,A67+1,"")</f>
        <v/>
      </c>
      <c r="L68" s="11"/>
    </row>
    <row r="69" spans="1:12" x14ac:dyDescent="0.25">
      <c r="A69" t="str">
        <f t="shared" si="1"/>
        <v/>
      </c>
      <c r="L69" s="11"/>
    </row>
    <row r="70" spans="1:12" x14ac:dyDescent="0.25">
      <c r="A70" t="str">
        <f t="shared" si="1"/>
        <v/>
      </c>
      <c r="L70" s="11"/>
    </row>
    <row r="71" spans="1:12" x14ac:dyDescent="0.25">
      <c r="A71" t="str">
        <f t="shared" si="1"/>
        <v/>
      </c>
      <c r="L71" s="11"/>
    </row>
    <row r="72" spans="1:12" x14ac:dyDescent="0.25">
      <c r="A72" t="str">
        <f t="shared" si="1"/>
        <v/>
      </c>
      <c r="L72" s="11"/>
    </row>
    <row r="73" spans="1:12" x14ac:dyDescent="0.25">
      <c r="A73" t="str">
        <f t="shared" si="1"/>
        <v/>
      </c>
      <c r="L73" s="11"/>
    </row>
    <row r="74" spans="1:12" x14ac:dyDescent="0.25">
      <c r="A74" t="str">
        <f t="shared" si="1"/>
        <v/>
      </c>
      <c r="L74" s="11"/>
    </row>
    <row r="75" spans="1:12" x14ac:dyDescent="0.25">
      <c r="A75" t="str">
        <f t="shared" si="1"/>
        <v/>
      </c>
      <c r="L75" s="11"/>
    </row>
    <row r="76" spans="1:12" x14ac:dyDescent="0.25">
      <c r="A76" t="str">
        <f t="shared" si="1"/>
        <v/>
      </c>
      <c r="L76" s="11"/>
    </row>
    <row r="77" spans="1:12" x14ac:dyDescent="0.25">
      <c r="A77" t="str">
        <f t="shared" si="1"/>
        <v/>
      </c>
      <c r="L77" s="11"/>
    </row>
    <row r="78" spans="1:12" x14ac:dyDescent="0.25">
      <c r="A78" t="str">
        <f t="shared" si="1"/>
        <v/>
      </c>
      <c r="L78" s="11"/>
    </row>
    <row r="79" spans="1:12" x14ac:dyDescent="0.25">
      <c r="A79" t="str">
        <f t="shared" si="1"/>
        <v/>
      </c>
      <c r="L79" s="11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315" x14ac:dyDescent="0.25">
      <c r="A1" s="3" t="s">
        <v>0</v>
      </c>
      <c r="B1" s="2" t="str">
        <f>CONCATENATE("SELECT 
a.`zona`,
a.`sector`,
a.`codigo`,
a.`nombres`,
b.`cajas`,
b.`cod`,
b.`pod`,
b.`comentarios`,
c.`solicitante`,
d.`descripcion`,
c.`fecha_despachado`,
 c.`autorizacion`,
b.monto_facturado
FROM 
consejeras  a
"," INNER JOIN pedidos b ON b.`codigo`  = a.`codigo`  INNER JOIN solicitudes c ON c.`pedido_id` = b.id 
INNER JOIN buzones d ON d.`id` = c.`buzon_id`
WHERE c.`tipo_solicitud` = 3 AND DATE(c.`fecha_despachado`) = '",TEXT(REPORTE!A3,"YYYY-MM-DD"),"' AND  a.zona = ",REPORTE!F3," AND b.campania = ",REPORTE!K3&amp;" order by c.fecha_creado")</f>
        <v>SELECT 
a.`zona`,
a.`sector`,
a.`codigo`,
a.`nombres`,
b.`cajas`,
b.`cod`,
b.`pod`,
b.`comentarios`,
c.`solicitante`,
d.`descripcion`,
c.`fecha_despachado`,
 c.`autorizacion`,
b.monto_facturado
FROM 
consejeras  a
 INNER JOIN pedidos b ON b.`codigo`  = a.`codigo`  INNER JOIN solicitudes c ON c.`pedido_id` = b.id 
INNER JOIN buzones d ON d.`id` = c.`buzon_id`
WHERE c.`tipo_solicitud` = 3 AND DATE(c.`fecha_despachado`) = '2015-04-26' AND  a.zona = 205 AND b.campania = 2 order by c.fecha_creado</v>
      </c>
    </row>
    <row r="2" spans="1:2" x14ac:dyDescent="0.25">
      <c r="B2" s="4">
        <f>LEN(B1)</f>
        <v>497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O12" sqref="O12"/>
    </sheetView>
  </sheetViews>
  <sheetFormatPr defaultColWidth="11.42578125" defaultRowHeight="16.5" x14ac:dyDescent="0.3"/>
  <cols>
    <col min="1" max="1" width="4.7109375" style="6" customWidth="1"/>
    <col min="2" max="2" width="10" style="6" customWidth="1"/>
    <col min="3" max="3" width="4.7109375" style="6" customWidth="1"/>
    <col min="4" max="4" width="40.140625" style="42" customWidth="1"/>
    <col min="5" max="5" width="6.140625" style="6" customWidth="1"/>
    <col min="6" max="6" width="29.140625" style="6" customWidth="1"/>
    <col min="7" max="7" width="7" style="44" customWidth="1"/>
    <col min="8" max="8" width="9.5703125" style="45" customWidth="1"/>
    <col min="9" max="10" width="9.7109375" style="6" bestFit="1" customWidth="1"/>
    <col min="11" max="11" width="10.42578125" style="5" bestFit="1" customWidth="1"/>
    <col min="12" max="12" width="5.7109375" style="5" customWidth="1"/>
    <col min="13" max="13" width="17.5703125" style="5" customWidth="1"/>
    <col min="14" max="14" width="19.28515625" style="5" customWidth="1"/>
    <col min="15" max="16384" width="11.42578125" style="5"/>
  </cols>
  <sheetData>
    <row r="1" spans="1:14" s="12" customFormat="1" ht="24" x14ac:dyDescent="0.25">
      <c r="A1" s="48" t="s">
        <v>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</row>
    <row r="2" spans="1:14" s="12" customFormat="1" ht="24.75" thickBot="1" x14ac:dyDescent="0.3">
      <c r="A2" s="48" t="s">
        <v>9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</row>
    <row r="3" spans="1:14" s="7" customFormat="1" ht="14.25" thickBot="1" x14ac:dyDescent="0.3">
      <c r="A3" s="49">
        <v>42120</v>
      </c>
      <c r="B3" s="50"/>
      <c r="C3" s="51"/>
      <c r="D3" s="9"/>
      <c r="E3" s="9"/>
      <c r="F3" s="52">
        <v>205</v>
      </c>
      <c r="G3" s="53"/>
      <c r="H3" s="8" t="s">
        <v>10</v>
      </c>
      <c r="I3" s="9"/>
      <c r="J3" s="13"/>
      <c r="K3" s="54" t="s">
        <v>43</v>
      </c>
      <c r="L3" s="55"/>
      <c r="M3" s="10" t="s">
        <v>13</v>
      </c>
      <c r="N3" s="10">
        <v>1</v>
      </c>
    </row>
    <row r="4" spans="1:14" s="7" customFormat="1" ht="18.75" customHeight="1" x14ac:dyDescent="0.25">
      <c r="A4" s="46" t="s">
        <v>11</v>
      </c>
      <c r="B4" s="46"/>
      <c r="C4" s="46"/>
      <c r="D4" s="9"/>
      <c r="E4" s="9"/>
      <c r="F4" s="47" t="s">
        <v>1</v>
      </c>
      <c r="G4" s="47"/>
      <c r="H4" s="9"/>
      <c r="I4" s="9"/>
      <c r="J4" s="14"/>
      <c r="K4" s="47" t="s">
        <v>7</v>
      </c>
      <c r="L4" s="47"/>
      <c r="M4" s="10" t="s">
        <v>14</v>
      </c>
      <c r="N4" s="9">
        <v>30</v>
      </c>
    </row>
    <row r="5" spans="1:14" s="7" customFormat="1" ht="9" customHeight="1" x14ac:dyDescent="0.25">
      <c r="A5" s="8"/>
      <c r="B5" s="15"/>
      <c r="C5" s="8"/>
      <c r="D5" s="9"/>
      <c r="E5" s="9"/>
      <c r="F5" s="9"/>
      <c r="G5" s="9"/>
      <c r="H5" s="9"/>
      <c r="I5" s="9"/>
      <c r="J5" s="13"/>
      <c r="K5" s="16"/>
      <c r="L5" s="9"/>
      <c r="M5" s="9"/>
      <c r="N5" s="9"/>
    </row>
    <row r="6" spans="1:14" s="7" customFormat="1" ht="21" customHeight="1" x14ac:dyDescent="0.25">
      <c r="A6" s="57" t="s">
        <v>15</v>
      </c>
      <c r="B6" s="59" t="s">
        <v>2</v>
      </c>
      <c r="C6" s="59" t="s">
        <v>16</v>
      </c>
      <c r="D6" s="59" t="s">
        <v>17</v>
      </c>
      <c r="E6" s="57" t="s">
        <v>18</v>
      </c>
      <c r="F6" s="57" t="s">
        <v>19</v>
      </c>
      <c r="G6" s="57" t="s">
        <v>20</v>
      </c>
      <c r="H6" s="57" t="s">
        <v>21</v>
      </c>
      <c r="I6" s="57" t="s">
        <v>22</v>
      </c>
      <c r="J6" s="58" t="s">
        <v>23</v>
      </c>
      <c r="K6" s="63" t="s">
        <v>24</v>
      </c>
      <c r="L6" s="64" t="s">
        <v>25</v>
      </c>
      <c r="M6" s="57" t="s">
        <v>26</v>
      </c>
      <c r="N6" s="59" t="s">
        <v>27</v>
      </c>
    </row>
    <row r="7" spans="1:14" s="7" customFormat="1" ht="21" customHeight="1" x14ac:dyDescent="0.25">
      <c r="A7" s="57"/>
      <c r="B7" s="59"/>
      <c r="C7" s="59"/>
      <c r="D7" s="59"/>
      <c r="E7" s="57"/>
      <c r="F7" s="57"/>
      <c r="G7" s="57"/>
      <c r="H7" s="57"/>
      <c r="I7" s="57"/>
      <c r="J7" s="58"/>
      <c r="K7" s="63"/>
      <c r="L7" s="64"/>
      <c r="M7" s="57"/>
      <c r="N7" s="59"/>
    </row>
    <row r="8" spans="1:14" s="7" customFormat="1" ht="21" customHeight="1" x14ac:dyDescent="0.25">
      <c r="A8" s="17">
        <f>N3</f>
        <v>1</v>
      </c>
      <c r="B8" s="17">
        <f>IFERROR(VLOOKUP(A8,Info!A:L,4,0),"")</f>
        <v>0</v>
      </c>
      <c r="C8" s="18">
        <f>IFERROR(VLOOKUP(A8,Info!A:L,3,0),"")</f>
        <v>0</v>
      </c>
      <c r="D8" s="17">
        <f>IFERROR(VLOOKUP(A8,Info!A:L,5,0),"")</f>
        <v>0</v>
      </c>
      <c r="E8" s="19">
        <f>IFERROR(VLOOKUP(A8,Info!A:L,6,0),"")</f>
        <v>0</v>
      </c>
      <c r="F8" s="17">
        <f>IFERROR(VLOOKUP(A8,Info!A:L,9,0),"")</f>
        <v>0</v>
      </c>
      <c r="G8" s="17">
        <f t="shared" ref="G8:G37" si="0">IF(F8 = "", E8,E8+MID(F8,1,1))</f>
        <v>0</v>
      </c>
      <c r="H8" s="20">
        <f>IFERROR(VLOOKUP(A8,Info!A:L,7,0),"")</f>
        <v>0</v>
      </c>
      <c r="I8" s="21">
        <f>IFERROR(VLOOKUP(A8,Info!A:L,8,0),"")</f>
        <v>0</v>
      </c>
      <c r="J8" s="22">
        <f>IFERROR(VLOOKUP(A8,Info!A:M,13,0),"")</f>
        <v>0</v>
      </c>
      <c r="K8" s="20">
        <f t="shared" ref="K8" si="1">IF(B8="","",H8-I8-J8)</f>
        <v>0</v>
      </c>
      <c r="L8" s="17"/>
      <c r="M8" s="23">
        <f>IFERROR(VLOOKUP(A8,Info!A:L,10,0),"")</f>
        <v>0</v>
      </c>
      <c r="N8" s="17">
        <f>IFERROR(VLOOKUP(A8,Info!A:L,11,0),"")</f>
        <v>0</v>
      </c>
    </row>
    <row r="9" spans="1:14" s="7" customFormat="1" ht="21" customHeight="1" x14ac:dyDescent="0.25">
      <c r="A9" s="17">
        <f>IF(A8&lt;$N$4,A8+1,$N$4)</f>
        <v>2</v>
      </c>
      <c r="B9" s="17" t="str">
        <f>IFERROR(VLOOKUP(A9,Info!A:L,4,0),"")</f>
        <v/>
      </c>
      <c r="C9" s="18" t="str">
        <f>IFERROR(VLOOKUP(A9,Info!A:L,3,0),"")</f>
        <v/>
      </c>
      <c r="D9" s="17" t="str">
        <f>IFERROR(VLOOKUP(A9,Info!A:L,5,0),"")</f>
        <v/>
      </c>
      <c r="E9" s="19" t="str">
        <f>IFERROR(VLOOKUP(A9,Info!A:L,6,0),"")</f>
        <v/>
      </c>
      <c r="F9" s="17" t="str">
        <f>IFERROR(VLOOKUP(A9,Info!A:L,9,0),"")</f>
        <v/>
      </c>
      <c r="G9" s="17" t="str">
        <f t="shared" si="0"/>
        <v/>
      </c>
      <c r="H9" s="20" t="str">
        <f>IFERROR(VLOOKUP(A9,Info!A:L,7,0),"")</f>
        <v/>
      </c>
      <c r="I9" s="21" t="str">
        <f>IFERROR(VLOOKUP(A9,Info!A:L,8,0),"")</f>
        <v/>
      </c>
      <c r="J9" s="22" t="str">
        <f>IFERROR(VLOOKUP(A9,Info!A:M,13,0),"")</f>
        <v/>
      </c>
      <c r="K9" s="20" t="str">
        <f t="shared" ref="K9:K37" si="2">IF(B9="","",H9-I9-J9)</f>
        <v/>
      </c>
      <c r="L9" s="17"/>
      <c r="M9" s="23" t="str">
        <f>IFERROR(VLOOKUP(A9,Info!A:L,10,0),"")</f>
        <v/>
      </c>
      <c r="N9" s="17" t="str">
        <f>IFERROR(VLOOKUP(A9,Info!A:L,11,0),"")</f>
        <v/>
      </c>
    </row>
    <row r="10" spans="1:14" s="7" customFormat="1" ht="21" customHeight="1" x14ac:dyDescent="0.25">
      <c r="A10" s="17">
        <f t="shared" ref="A10:A37" si="3">IF(A9&lt;$N$4,A9+1,$N$4)</f>
        <v>3</v>
      </c>
      <c r="B10" s="17" t="str">
        <f>IFERROR(VLOOKUP(A10,Info!A:L,4,0),"")</f>
        <v/>
      </c>
      <c r="C10" s="18" t="str">
        <f>IFERROR(VLOOKUP(A10,Info!A:L,3,0),"")</f>
        <v/>
      </c>
      <c r="D10" s="17" t="str">
        <f>IFERROR(VLOOKUP(A10,Info!A:L,5,0),"")</f>
        <v/>
      </c>
      <c r="E10" s="19" t="str">
        <f>IFERROR(VLOOKUP(A10,Info!A:L,6,0),"")</f>
        <v/>
      </c>
      <c r="F10" s="17" t="str">
        <f>IFERROR(VLOOKUP(A10,Info!A:L,9,0),"")</f>
        <v/>
      </c>
      <c r="G10" s="17" t="str">
        <f t="shared" si="0"/>
        <v/>
      </c>
      <c r="H10" s="20" t="str">
        <f>IFERROR(VLOOKUP(A10,Info!A:L,7,0),"")</f>
        <v/>
      </c>
      <c r="I10" s="21" t="str">
        <f>IFERROR(VLOOKUP(A10,Info!A:L,8,0),"")</f>
        <v/>
      </c>
      <c r="J10" s="22" t="str">
        <f>IFERROR(VLOOKUP(A10,Info!A:M,13,0),"")</f>
        <v/>
      </c>
      <c r="K10" s="20" t="str">
        <f t="shared" si="2"/>
        <v/>
      </c>
      <c r="L10" s="17"/>
      <c r="M10" s="23" t="str">
        <f>IFERROR(VLOOKUP(A10,Info!A:L,10,0),"")</f>
        <v/>
      </c>
      <c r="N10" s="17" t="str">
        <f>IFERROR(VLOOKUP(A10,Info!A:L,11,0),"")</f>
        <v/>
      </c>
    </row>
    <row r="11" spans="1:14" s="7" customFormat="1" ht="21" customHeight="1" x14ac:dyDescent="0.25">
      <c r="A11" s="17">
        <f t="shared" si="3"/>
        <v>4</v>
      </c>
      <c r="B11" s="17" t="str">
        <f>IFERROR(VLOOKUP(A11,Info!A:L,4,0),"")</f>
        <v/>
      </c>
      <c r="C11" s="18" t="str">
        <f>IFERROR(VLOOKUP(A11,Info!A:L,3,0),"")</f>
        <v/>
      </c>
      <c r="D11" s="17" t="str">
        <f>IFERROR(VLOOKUP(A11,Info!A:L,5,0),"")</f>
        <v/>
      </c>
      <c r="E11" s="19" t="str">
        <f>IFERROR(VLOOKUP(A11,Info!A:L,6,0),"")</f>
        <v/>
      </c>
      <c r="F11" s="17" t="str">
        <f>IFERROR(VLOOKUP(A11,Info!A:L,9,0),"")</f>
        <v/>
      </c>
      <c r="G11" s="17" t="str">
        <f t="shared" si="0"/>
        <v/>
      </c>
      <c r="H11" s="20" t="str">
        <f>IFERROR(VLOOKUP(A11,Info!A:L,7,0),"")</f>
        <v/>
      </c>
      <c r="I11" s="21" t="str">
        <f>IFERROR(VLOOKUP(A11,Info!A:L,8,0),"")</f>
        <v/>
      </c>
      <c r="J11" s="22" t="str">
        <f>IFERROR(VLOOKUP(A11,Info!A:M,13,0),"")</f>
        <v/>
      </c>
      <c r="K11" s="20" t="str">
        <f t="shared" si="2"/>
        <v/>
      </c>
      <c r="L11" s="17"/>
      <c r="M11" s="23" t="str">
        <f>IFERROR(VLOOKUP(A11,Info!A:L,10,0),"")</f>
        <v/>
      </c>
      <c r="N11" s="17" t="str">
        <f>IFERROR(VLOOKUP(A11,Info!A:L,11,0),"")</f>
        <v/>
      </c>
    </row>
    <row r="12" spans="1:14" s="7" customFormat="1" ht="21" customHeight="1" x14ac:dyDescent="0.25">
      <c r="A12" s="17">
        <f t="shared" si="3"/>
        <v>5</v>
      </c>
      <c r="B12" s="17" t="str">
        <f>IFERROR(VLOOKUP(A12,Info!A:L,4,0),"")</f>
        <v/>
      </c>
      <c r="C12" s="18" t="str">
        <f>IFERROR(VLOOKUP(A12,Info!A:L,3,0),"")</f>
        <v/>
      </c>
      <c r="D12" s="17" t="str">
        <f>IFERROR(VLOOKUP(A12,Info!A:L,5,0),"")</f>
        <v/>
      </c>
      <c r="E12" s="19" t="str">
        <f>IFERROR(VLOOKUP(A12,Info!A:L,6,0),"")</f>
        <v/>
      </c>
      <c r="F12" s="17" t="str">
        <f>IFERROR(VLOOKUP(A12,Info!A:L,9,0),"")</f>
        <v/>
      </c>
      <c r="G12" s="17" t="str">
        <f t="shared" si="0"/>
        <v/>
      </c>
      <c r="H12" s="20" t="str">
        <f>IFERROR(VLOOKUP(A12,Info!A:L,7,0),"")</f>
        <v/>
      </c>
      <c r="I12" s="21" t="str">
        <f>IFERROR(VLOOKUP(A12,Info!A:L,8,0),"")</f>
        <v/>
      </c>
      <c r="J12" s="22" t="str">
        <f>IFERROR(VLOOKUP(A12,Info!A:M,13,0),"")</f>
        <v/>
      </c>
      <c r="K12" s="20" t="str">
        <f t="shared" si="2"/>
        <v/>
      </c>
      <c r="L12" s="17"/>
      <c r="M12" s="23" t="str">
        <f>IFERROR(VLOOKUP(A12,Info!A:L,10,0),"")</f>
        <v/>
      </c>
      <c r="N12" s="17" t="str">
        <f>IFERROR(VLOOKUP(A12,Info!A:L,11,0),"")</f>
        <v/>
      </c>
    </row>
    <row r="13" spans="1:14" s="7" customFormat="1" ht="21" customHeight="1" x14ac:dyDescent="0.25">
      <c r="A13" s="17">
        <f t="shared" si="3"/>
        <v>6</v>
      </c>
      <c r="B13" s="17" t="str">
        <f>IFERROR(VLOOKUP(A13,Info!A:L,4,0),"")</f>
        <v/>
      </c>
      <c r="C13" s="18" t="str">
        <f>IFERROR(VLOOKUP(A13,Info!A:L,3,0),"")</f>
        <v/>
      </c>
      <c r="D13" s="17" t="str">
        <f>IFERROR(VLOOKUP(A13,Info!A:L,5,0),"")</f>
        <v/>
      </c>
      <c r="E13" s="19" t="str">
        <f>IFERROR(VLOOKUP(A13,Info!A:L,6,0),"")</f>
        <v/>
      </c>
      <c r="F13" s="17" t="str">
        <f>IFERROR(VLOOKUP(A13,Info!A:L,9,0),"")</f>
        <v/>
      </c>
      <c r="G13" s="17" t="str">
        <f t="shared" si="0"/>
        <v/>
      </c>
      <c r="H13" s="20" t="str">
        <f>IFERROR(VLOOKUP(A13,Info!A:L,7,0),"")</f>
        <v/>
      </c>
      <c r="I13" s="21" t="str">
        <f>IFERROR(VLOOKUP(A13,Info!A:L,8,0),"")</f>
        <v/>
      </c>
      <c r="J13" s="22" t="str">
        <f>IFERROR(VLOOKUP(A13,Info!A:M,13,0),"")</f>
        <v/>
      </c>
      <c r="K13" s="20" t="str">
        <f t="shared" si="2"/>
        <v/>
      </c>
      <c r="L13" s="17"/>
      <c r="M13" s="23" t="str">
        <f>IFERROR(VLOOKUP(A13,Info!A:L,10,0),"")</f>
        <v/>
      </c>
      <c r="N13" s="17" t="str">
        <f>IFERROR(VLOOKUP(A13,Info!A:L,11,0),"")</f>
        <v/>
      </c>
    </row>
    <row r="14" spans="1:14" s="7" customFormat="1" ht="21" customHeight="1" x14ac:dyDescent="0.25">
      <c r="A14" s="17">
        <f t="shared" si="3"/>
        <v>7</v>
      </c>
      <c r="B14" s="17" t="str">
        <f>IFERROR(VLOOKUP(A14,Info!A:L,4,0),"")</f>
        <v/>
      </c>
      <c r="C14" s="18" t="str">
        <f>IFERROR(VLOOKUP(A14,Info!A:L,3,0),"")</f>
        <v/>
      </c>
      <c r="D14" s="17" t="str">
        <f>IFERROR(VLOOKUP(A14,Info!A:L,5,0),"")</f>
        <v/>
      </c>
      <c r="E14" s="19" t="str">
        <f>IFERROR(VLOOKUP(A14,Info!A:L,6,0),"")</f>
        <v/>
      </c>
      <c r="F14" s="17" t="str">
        <f>IFERROR(VLOOKUP(A14,Info!A:L,9,0),"")</f>
        <v/>
      </c>
      <c r="G14" s="17" t="str">
        <f t="shared" si="0"/>
        <v/>
      </c>
      <c r="H14" s="20" t="str">
        <f>IFERROR(VLOOKUP(A14,Info!A:L,7,0),"")</f>
        <v/>
      </c>
      <c r="I14" s="21" t="str">
        <f>IFERROR(VLOOKUP(A14,Info!A:L,8,0),"")</f>
        <v/>
      </c>
      <c r="J14" s="22" t="str">
        <f>IFERROR(VLOOKUP(A14,Info!A:M,13,0),"")</f>
        <v/>
      </c>
      <c r="K14" s="20" t="str">
        <f t="shared" si="2"/>
        <v/>
      </c>
      <c r="L14" s="17"/>
      <c r="M14" s="23" t="str">
        <f>IFERROR(VLOOKUP(A14,Info!A:L,10,0),"")</f>
        <v/>
      </c>
      <c r="N14" s="17" t="str">
        <f>IFERROR(VLOOKUP(A14,Info!A:L,11,0),"")</f>
        <v/>
      </c>
    </row>
    <row r="15" spans="1:14" s="7" customFormat="1" ht="21" customHeight="1" x14ac:dyDescent="0.25">
      <c r="A15" s="17">
        <f t="shared" si="3"/>
        <v>8</v>
      </c>
      <c r="B15" s="17" t="str">
        <f>IFERROR(VLOOKUP(A15,Info!A:L,4,0),"")</f>
        <v/>
      </c>
      <c r="C15" s="18" t="str">
        <f>IFERROR(VLOOKUP(A15,Info!A:L,3,0),"")</f>
        <v/>
      </c>
      <c r="D15" s="17" t="str">
        <f>IFERROR(VLOOKUP(A15,Info!A:L,5,0),"")</f>
        <v/>
      </c>
      <c r="E15" s="19" t="str">
        <f>IFERROR(VLOOKUP(A15,Info!A:L,6,0),"")</f>
        <v/>
      </c>
      <c r="F15" s="17" t="str">
        <f>IFERROR(VLOOKUP(A15,Info!A:L,9,0),"")</f>
        <v/>
      </c>
      <c r="G15" s="17" t="str">
        <f t="shared" si="0"/>
        <v/>
      </c>
      <c r="H15" s="20" t="str">
        <f>IFERROR(VLOOKUP(A15,Info!A:L,7,0),"")</f>
        <v/>
      </c>
      <c r="I15" s="21" t="str">
        <f>IFERROR(VLOOKUP(A15,Info!A:L,8,0),"")</f>
        <v/>
      </c>
      <c r="J15" s="22" t="str">
        <f>IFERROR(VLOOKUP(A15,Info!A:M,13,0),"")</f>
        <v/>
      </c>
      <c r="K15" s="20" t="str">
        <f t="shared" si="2"/>
        <v/>
      </c>
      <c r="L15" s="17"/>
      <c r="M15" s="23" t="str">
        <f>IFERROR(VLOOKUP(A15,Info!A:L,10,0),"")</f>
        <v/>
      </c>
      <c r="N15" s="17" t="str">
        <f>IFERROR(VLOOKUP(A15,Info!A:L,11,0),"")</f>
        <v/>
      </c>
    </row>
    <row r="16" spans="1:14" s="7" customFormat="1" ht="21" customHeight="1" x14ac:dyDescent="0.25">
      <c r="A16" s="17">
        <f t="shared" si="3"/>
        <v>9</v>
      </c>
      <c r="B16" s="17" t="str">
        <f>IFERROR(VLOOKUP(A16,Info!A:L,4,0),"")</f>
        <v/>
      </c>
      <c r="C16" s="18" t="str">
        <f>IFERROR(VLOOKUP(A16,Info!A:L,3,0),"")</f>
        <v/>
      </c>
      <c r="D16" s="17" t="str">
        <f>IFERROR(VLOOKUP(A16,Info!A:L,5,0),"")</f>
        <v/>
      </c>
      <c r="E16" s="19" t="str">
        <f>IFERROR(VLOOKUP(A16,Info!A:L,6,0),"")</f>
        <v/>
      </c>
      <c r="F16" s="17" t="str">
        <f>IFERROR(VLOOKUP(A16,Info!A:L,9,0),"")</f>
        <v/>
      </c>
      <c r="G16" s="17" t="str">
        <f t="shared" si="0"/>
        <v/>
      </c>
      <c r="H16" s="20" t="str">
        <f>IFERROR(VLOOKUP(A16,Info!A:L,7,0),"")</f>
        <v/>
      </c>
      <c r="I16" s="21" t="str">
        <f>IFERROR(VLOOKUP(A16,Info!A:L,8,0),"")</f>
        <v/>
      </c>
      <c r="J16" s="22" t="str">
        <f>IFERROR(VLOOKUP(A16,Info!A:M,13,0),"")</f>
        <v/>
      </c>
      <c r="K16" s="20" t="str">
        <f t="shared" si="2"/>
        <v/>
      </c>
      <c r="L16" s="17"/>
      <c r="M16" s="23" t="str">
        <f>IFERROR(VLOOKUP(A16,Info!A:L,10,0),"")</f>
        <v/>
      </c>
      <c r="N16" s="17" t="str">
        <f>IFERROR(VLOOKUP(A16,Info!A:L,11,0),"")</f>
        <v/>
      </c>
    </row>
    <row r="17" spans="1:14" s="7" customFormat="1" ht="21" customHeight="1" x14ac:dyDescent="0.25">
      <c r="A17" s="17">
        <f t="shared" si="3"/>
        <v>10</v>
      </c>
      <c r="B17" s="17" t="str">
        <f>IFERROR(VLOOKUP(A17,Info!A:L,4,0),"")</f>
        <v/>
      </c>
      <c r="C17" s="18" t="str">
        <f>IFERROR(VLOOKUP(A17,Info!A:L,3,0),"")</f>
        <v/>
      </c>
      <c r="D17" s="17" t="str">
        <f>IFERROR(VLOOKUP(A17,Info!A:L,5,0),"")</f>
        <v/>
      </c>
      <c r="E17" s="19" t="str">
        <f>IFERROR(VLOOKUP(A17,Info!A:L,6,0),"")</f>
        <v/>
      </c>
      <c r="F17" s="17" t="str">
        <f>IFERROR(VLOOKUP(A17,Info!A:L,9,0),"")</f>
        <v/>
      </c>
      <c r="G17" s="17" t="str">
        <f t="shared" si="0"/>
        <v/>
      </c>
      <c r="H17" s="20" t="str">
        <f>IFERROR(VLOOKUP(A17,Info!A:L,7,0),"")</f>
        <v/>
      </c>
      <c r="I17" s="21" t="str">
        <f>IFERROR(VLOOKUP(A17,Info!A:L,8,0),"")</f>
        <v/>
      </c>
      <c r="J17" s="22" t="str">
        <f>IFERROR(VLOOKUP(A17,Info!A:M,13,0),"")</f>
        <v/>
      </c>
      <c r="K17" s="20" t="str">
        <f t="shared" si="2"/>
        <v/>
      </c>
      <c r="L17" s="17"/>
      <c r="M17" s="23" t="str">
        <f>IFERROR(VLOOKUP(A17,Info!A:L,10,0),"")</f>
        <v/>
      </c>
      <c r="N17" s="17" t="str">
        <f>IFERROR(VLOOKUP(A17,Info!A:L,11,0),"")</f>
        <v/>
      </c>
    </row>
    <row r="18" spans="1:14" s="7" customFormat="1" ht="21" customHeight="1" x14ac:dyDescent="0.25">
      <c r="A18" s="17">
        <f t="shared" si="3"/>
        <v>11</v>
      </c>
      <c r="B18" s="17" t="str">
        <f>IFERROR(VLOOKUP(A18,Info!A:L,4,0),"")</f>
        <v/>
      </c>
      <c r="C18" s="18" t="str">
        <f>IFERROR(VLOOKUP(A18,Info!A:L,3,0),"")</f>
        <v/>
      </c>
      <c r="D18" s="17" t="str">
        <f>IFERROR(VLOOKUP(A18,Info!A:L,5,0),"")</f>
        <v/>
      </c>
      <c r="E18" s="19" t="str">
        <f>IFERROR(VLOOKUP(A18,Info!A:L,6,0),"")</f>
        <v/>
      </c>
      <c r="F18" s="17" t="str">
        <f>IFERROR(VLOOKUP(A18,Info!A:L,9,0),"")</f>
        <v/>
      </c>
      <c r="G18" s="17" t="str">
        <f t="shared" si="0"/>
        <v/>
      </c>
      <c r="H18" s="20" t="str">
        <f>IFERROR(VLOOKUP(A18,Info!A:L,7,0),"")</f>
        <v/>
      </c>
      <c r="I18" s="21" t="str">
        <f>IFERROR(VLOOKUP(A18,Info!A:L,8,0),"")</f>
        <v/>
      </c>
      <c r="J18" s="22" t="str">
        <f>IFERROR(VLOOKUP(A18,Info!A:M,13,0),"")</f>
        <v/>
      </c>
      <c r="K18" s="20" t="str">
        <f t="shared" si="2"/>
        <v/>
      </c>
      <c r="L18" s="17"/>
      <c r="M18" s="23" t="str">
        <f>IFERROR(VLOOKUP(A18,Info!A:L,10,0),"")</f>
        <v/>
      </c>
      <c r="N18" s="17" t="str">
        <f>IFERROR(VLOOKUP(A18,Info!A:L,11,0),"")</f>
        <v/>
      </c>
    </row>
    <row r="19" spans="1:14" s="7" customFormat="1" ht="21" customHeight="1" x14ac:dyDescent="0.25">
      <c r="A19" s="17">
        <f t="shared" si="3"/>
        <v>12</v>
      </c>
      <c r="B19" s="17" t="str">
        <f>IFERROR(VLOOKUP(A19,Info!A:L,4,0),"")</f>
        <v/>
      </c>
      <c r="C19" s="18" t="str">
        <f>IFERROR(VLOOKUP(A19,Info!A:L,3,0),"")</f>
        <v/>
      </c>
      <c r="D19" s="17" t="str">
        <f>IFERROR(VLOOKUP(A19,Info!A:L,5,0),"")</f>
        <v/>
      </c>
      <c r="E19" s="19" t="str">
        <f>IFERROR(VLOOKUP(A19,Info!A:L,6,0),"")</f>
        <v/>
      </c>
      <c r="F19" s="17" t="str">
        <f>IFERROR(VLOOKUP(A19,Info!A:L,9,0),"")</f>
        <v/>
      </c>
      <c r="G19" s="17" t="str">
        <f t="shared" si="0"/>
        <v/>
      </c>
      <c r="H19" s="20" t="str">
        <f>IFERROR(VLOOKUP(A19,Info!A:L,7,0),"")</f>
        <v/>
      </c>
      <c r="I19" s="21" t="str">
        <f>IFERROR(VLOOKUP(A19,Info!A:L,8,0),"")</f>
        <v/>
      </c>
      <c r="J19" s="22" t="str">
        <f>IFERROR(VLOOKUP(A19,Info!A:M,13,0),"")</f>
        <v/>
      </c>
      <c r="K19" s="20" t="str">
        <f t="shared" si="2"/>
        <v/>
      </c>
      <c r="L19" s="17"/>
      <c r="M19" s="23" t="str">
        <f>IFERROR(VLOOKUP(A19,Info!A:L,10,0),"")</f>
        <v/>
      </c>
      <c r="N19" s="17" t="str">
        <f>IFERROR(VLOOKUP(A19,Info!A:L,11,0),"")</f>
        <v/>
      </c>
    </row>
    <row r="20" spans="1:14" s="7" customFormat="1" ht="21" customHeight="1" x14ac:dyDescent="0.25">
      <c r="A20" s="17">
        <f t="shared" si="3"/>
        <v>13</v>
      </c>
      <c r="B20" s="17" t="str">
        <f>IFERROR(VLOOKUP(A20,Info!A:L,4,0),"")</f>
        <v/>
      </c>
      <c r="C20" s="18" t="str">
        <f>IFERROR(VLOOKUP(A20,Info!A:L,3,0),"")</f>
        <v/>
      </c>
      <c r="D20" s="17" t="str">
        <f>IFERROR(VLOOKUP(A20,Info!A:L,5,0),"")</f>
        <v/>
      </c>
      <c r="E20" s="19" t="str">
        <f>IFERROR(VLOOKUP(A20,Info!A:L,6,0),"")</f>
        <v/>
      </c>
      <c r="F20" s="17" t="str">
        <f>IFERROR(VLOOKUP(A20,Info!A:L,9,0),"")</f>
        <v/>
      </c>
      <c r="G20" s="17" t="str">
        <f t="shared" si="0"/>
        <v/>
      </c>
      <c r="H20" s="20" t="str">
        <f>IFERROR(VLOOKUP(A20,Info!A:L,7,0),"")</f>
        <v/>
      </c>
      <c r="I20" s="21" t="str">
        <f>IFERROR(VLOOKUP(A20,Info!A:L,8,0),"")</f>
        <v/>
      </c>
      <c r="J20" s="22" t="str">
        <f>IFERROR(VLOOKUP(A20,Info!A:M,13,0),"")</f>
        <v/>
      </c>
      <c r="K20" s="20" t="str">
        <f t="shared" si="2"/>
        <v/>
      </c>
      <c r="L20" s="17"/>
      <c r="M20" s="23" t="str">
        <f>IFERROR(VLOOKUP(A20,Info!A:L,10,0),"")</f>
        <v/>
      </c>
      <c r="N20" s="17" t="str">
        <f>IFERROR(VLOOKUP(A20,Info!A:L,11,0),"")</f>
        <v/>
      </c>
    </row>
    <row r="21" spans="1:14" s="7" customFormat="1" ht="21" customHeight="1" x14ac:dyDescent="0.25">
      <c r="A21" s="17">
        <f t="shared" si="3"/>
        <v>14</v>
      </c>
      <c r="B21" s="17" t="str">
        <f>IFERROR(VLOOKUP(A21,Info!A:L,4,0),"")</f>
        <v/>
      </c>
      <c r="C21" s="18" t="str">
        <f>IFERROR(VLOOKUP(A21,Info!A:L,3,0),"")</f>
        <v/>
      </c>
      <c r="D21" s="17" t="str">
        <f>IFERROR(VLOOKUP(A21,Info!A:L,5,0),"")</f>
        <v/>
      </c>
      <c r="E21" s="19" t="str">
        <f>IFERROR(VLOOKUP(A21,Info!A:L,6,0),"")</f>
        <v/>
      </c>
      <c r="F21" s="17" t="str">
        <f>IFERROR(VLOOKUP(A21,Info!A:L,9,0),"")</f>
        <v/>
      </c>
      <c r="G21" s="17" t="str">
        <f t="shared" si="0"/>
        <v/>
      </c>
      <c r="H21" s="20" t="str">
        <f>IFERROR(VLOOKUP(A21,Info!A:L,7,0),"")</f>
        <v/>
      </c>
      <c r="I21" s="21" t="str">
        <f>IFERROR(VLOOKUP(A21,Info!A:L,8,0),"")</f>
        <v/>
      </c>
      <c r="J21" s="22" t="str">
        <f>IFERROR(VLOOKUP(A21,Info!A:M,13,0),"")</f>
        <v/>
      </c>
      <c r="K21" s="20" t="str">
        <f t="shared" si="2"/>
        <v/>
      </c>
      <c r="L21" s="17"/>
      <c r="M21" s="23" t="str">
        <f>IFERROR(VLOOKUP(A21,Info!A:L,10,0),"")</f>
        <v/>
      </c>
      <c r="N21" s="17" t="str">
        <f>IFERROR(VLOOKUP(A21,Info!A:L,11,0),"")</f>
        <v/>
      </c>
    </row>
    <row r="22" spans="1:14" s="7" customFormat="1" ht="21" customHeight="1" x14ac:dyDescent="0.25">
      <c r="A22" s="17">
        <f t="shared" si="3"/>
        <v>15</v>
      </c>
      <c r="B22" s="17" t="str">
        <f>IFERROR(VLOOKUP(A22,Info!A:L,4,0),"")</f>
        <v/>
      </c>
      <c r="C22" s="18" t="str">
        <f>IFERROR(VLOOKUP(A22,Info!A:L,3,0),"")</f>
        <v/>
      </c>
      <c r="D22" s="17" t="str">
        <f>IFERROR(VLOOKUP(A22,Info!A:L,5,0),"")</f>
        <v/>
      </c>
      <c r="E22" s="19" t="str">
        <f>IFERROR(VLOOKUP(A22,Info!A:L,6,0),"")</f>
        <v/>
      </c>
      <c r="F22" s="17" t="str">
        <f>IFERROR(VLOOKUP(A22,Info!A:L,9,0),"")</f>
        <v/>
      </c>
      <c r="G22" s="17" t="str">
        <f t="shared" si="0"/>
        <v/>
      </c>
      <c r="H22" s="20" t="str">
        <f>IFERROR(VLOOKUP(A22,Info!A:L,7,0),"")</f>
        <v/>
      </c>
      <c r="I22" s="21" t="str">
        <f>IFERROR(VLOOKUP(A22,Info!A:L,8,0),"")</f>
        <v/>
      </c>
      <c r="J22" s="22" t="str">
        <f>IFERROR(VLOOKUP(A22,Info!A:M,13,0),"")</f>
        <v/>
      </c>
      <c r="K22" s="20" t="str">
        <f t="shared" si="2"/>
        <v/>
      </c>
      <c r="L22" s="17"/>
      <c r="M22" s="23" t="str">
        <f>IFERROR(VLOOKUP(A22,Info!A:L,10,0),"")</f>
        <v/>
      </c>
      <c r="N22" s="17" t="str">
        <f>IFERROR(VLOOKUP(A22,Info!A:L,11,0),"")</f>
        <v/>
      </c>
    </row>
    <row r="23" spans="1:14" s="7" customFormat="1" ht="21" customHeight="1" x14ac:dyDescent="0.25">
      <c r="A23" s="17">
        <f t="shared" si="3"/>
        <v>16</v>
      </c>
      <c r="B23" s="17" t="str">
        <f>IFERROR(VLOOKUP(A23,Info!A:L,4,0),"")</f>
        <v/>
      </c>
      <c r="C23" s="18" t="str">
        <f>IFERROR(VLOOKUP(A23,Info!A:L,3,0),"")</f>
        <v/>
      </c>
      <c r="D23" s="17" t="str">
        <f>IFERROR(VLOOKUP(A23,Info!A:L,5,0),"")</f>
        <v/>
      </c>
      <c r="E23" s="19" t="str">
        <f>IFERROR(VLOOKUP(A23,Info!A:L,6,0),"")</f>
        <v/>
      </c>
      <c r="F23" s="17" t="str">
        <f>IFERROR(VLOOKUP(A23,Info!A:L,9,0),"")</f>
        <v/>
      </c>
      <c r="G23" s="17" t="str">
        <f t="shared" si="0"/>
        <v/>
      </c>
      <c r="H23" s="20" t="str">
        <f>IFERROR(VLOOKUP(A23,Info!A:L,7,0),"")</f>
        <v/>
      </c>
      <c r="I23" s="21" t="str">
        <f>IFERROR(VLOOKUP(A23,Info!A:L,8,0),"")</f>
        <v/>
      </c>
      <c r="J23" s="22" t="str">
        <f>IFERROR(VLOOKUP(A23,Info!A:M,13,0),"")</f>
        <v/>
      </c>
      <c r="K23" s="20" t="str">
        <f t="shared" si="2"/>
        <v/>
      </c>
      <c r="L23" s="17"/>
      <c r="M23" s="23" t="str">
        <f>IFERROR(VLOOKUP(A23,Info!A:L,10,0),"")</f>
        <v/>
      </c>
      <c r="N23" s="17" t="str">
        <f>IFERROR(VLOOKUP(A23,Info!A:L,11,0),"")</f>
        <v/>
      </c>
    </row>
    <row r="24" spans="1:14" s="7" customFormat="1" ht="21" customHeight="1" x14ac:dyDescent="0.25">
      <c r="A24" s="17">
        <f t="shared" si="3"/>
        <v>17</v>
      </c>
      <c r="B24" s="17" t="str">
        <f>IFERROR(VLOOKUP(A24,Info!A:L,4,0),"")</f>
        <v/>
      </c>
      <c r="C24" s="18" t="str">
        <f>IFERROR(VLOOKUP(A24,Info!A:L,3,0),"")</f>
        <v/>
      </c>
      <c r="D24" s="17" t="str">
        <f>IFERROR(VLOOKUP(A24,Info!A:L,5,0),"")</f>
        <v/>
      </c>
      <c r="E24" s="19" t="str">
        <f>IFERROR(VLOOKUP(A24,Info!A:L,6,0),"")</f>
        <v/>
      </c>
      <c r="F24" s="17" t="str">
        <f>IFERROR(VLOOKUP(A24,Info!A:L,9,0),"")</f>
        <v/>
      </c>
      <c r="G24" s="17" t="str">
        <f t="shared" si="0"/>
        <v/>
      </c>
      <c r="H24" s="20" t="str">
        <f>IFERROR(VLOOKUP(A24,Info!A:L,7,0),"")</f>
        <v/>
      </c>
      <c r="I24" s="21" t="str">
        <f>IFERROR(VLOOKUP(A24,Info!A:L,8,0),"")</f>
        <v/>
      </c>
      <c r="J24" s="22" t="str">
        <f>IFERROR(VLOOKUP(A24,Info!A:M,13,0),"")</f>
        <v/>
      </c>
      <c r="K24" s="20" t="str">
        <f t="shared" si="2"/>
        <v/>
      </c>
      <c r="L24" s="17"/>
      <c r="M24" s="23" t="str">
        <f>IFERROR(VLOOKUP(A24,Info!A:L,10,0),"")</f>
        <v/>
      </c>
      <c r="N24" s="17" t="str">
        <f>IFERROR(VLOOKUP(A24,Info!A:L,11,0),"")</f>
        <v/>
      </c>
    </row>
    <row r="25" spans="1:14" s="7" customFormat="1" ht="21" customHeight="1" x14ac:dyDescent="0.25">
      <c r="A25" s="17">
        <f t="shared" si="3"/>
        <v>18</v>
      </c>
      <c r="B25" s="17" t="str">
        <f>IFERROR(VLOOKUP(A25,Info!A:L,4,0),"")</f>
        <v/>
      </c>
      <c r="C25" s="18" t="str">
        <f>IFERROR(VLOOKUP(A25,Info!A:L,3,0),"")</f>
        <v/>
      </c>
      <c r="D25" s="17" t="str">
        <f>IFERROR(VLOOKUP(A25,Info!A:L,5,0),"")</f>
        <v/>
      </c>
      <c r="E25" s="19" t="str">
        <f>IFERROR(VLOOKUP(A25,Info!A:L,6,0),"")</f>
        <v/>
      </c>
      <c r="F25" s="17" t="str">
        <f>IFERROR(VLOOKUP(A25,Info!A:L,9,0),"")</f>
        <v/>
      </c>
      <c r="G25" s="17" t="str">
        <f t="shared" si="0"/>
        <v/>
      </c>
      <c r="H25" s="20" t="str">
        <f>IFERROR(VLOOKUP(A25,Info!A:L,7,0),"")</f>
        <v/>
      </c>
      <c r="I25" s="21" t="str">
        <f>IFERROR(VLOOKUP(A25,Info!A:L,8,0),"")</f>
        <v/>
      </c>
      <c r="J25" s="22" t="str">
        <f>IFERROR(VLOOKUP(A25,Info!A:M,13,0),"")</f>
        <v/>
      </c>
      <c r="K25" s="20" t="str">
        <f t="shared" si="2"/>
        <v/>
      </c>
      <c r="L25" s="17"/>
      <c r="M25" s="23" t="str">
        <f>IFERROR(VLOOKUP(A25,Info!A:L,10,0),"")</f>
        <v/>
      </c>
      <c r="N25" s="17" t="str">
        <f>IFERROR(VLOOKUP(A25,Info!A:L,11,0),"")</f>
        <v/>
      </c>
    </row>
    <row r="26" spans="1:14" s="7" customFormat="1" ht="21" customHeight="1" x14ac:dyDescent="0.25">
      <c r="A26" s="17">
        <f t="shared" si="3"/>
        <v>19</v>
      </c>
      <c r="B26" s="17" t="str">
        <f>IFERROR(VLOOKUP(A26,Info!A:L,4,0),"")</f>
        <v/>
      </c>
      <c r="C26" s="18" t="str">
        <f>IFERROR(VLOOKUP(A26,Info!A:L,3,0),"")</f>
        <v/>
      </c>
      <c r="D26" s="17" t="str">
        <f>IFERROR(VLOOKUP(A26,Info!A:L,5,0),"")</f>
        <v/>
      </c>
      <c r="E26" s="19" t="str">
        <f>IFERROR(VLOOKUP(A26,Info!A:L,6,0),"")</f>
        <v/>
      </c>
      <c r="F26" s="17" t="str">
        <f>IFERROR(VLOOKUP(A26,Info!A:L,9,0),"")</f>
        <v/>
      </c>
      <c r="G26" s="17" t="str">
        <f t="shared" si="0"/>
        <v/>
      </c>
      <c r="H26" s="20" t="str">
        <f>IFERROR(VLOOKUP(A26,Info!A:L,7,0),"")</f>
        <v/>
      </c>
      <c r="I26" s="21" t="str">
        <f>IFERROR(VLOOKUP(A26,Info!A:L,8,0),"")</f>
        <v/>
      </c>
      <c r="J26" s="22" t="str">
        <f>IFERROR(VLOOKUP(A26,Info!A:M,13,0),"")</f>
        <v/>
      </c>
      <c r="K26" s="20" t="str">
        <f t="shared" si="2"/>
        <v/>
      </c>
      <c r="L26" s="17"/>
      <c r="M26" s="23" t="str">
        <f>IFERROR(VLOOKUP(A26,Info!A:L,10,0),"")</f>
        <v/>
      </c>
      <c r="N26" s="17" t="str">
        <f>IFERROR(VLOOKUP(A26,Info!A:L,11,0),"")</f>
        <v/>
      </c>
    </row>
    <row r="27" spans="1:14" s="7" customFormat="1" ht="21" customHeight="1" x14ac:dyDescent="0.25">
      <c r="A27" s="17">
        <f t="shared" si="3"/>
        <v>20</v>
      </c>
      <c r="B27" s="17" t="str">
        <f>IFERROR(VLOOKUP(A27,Info!A:L,4,0),"")</f>
        <v/>
      </c>
      <c r="C27" s="18" t="str">
        <f>IFERROR(VLOOKUP(A27,Info!A:L,3,0),"")</f>
        <v/>
      </c>
      <c r="D27" s="17" t="str">
        <f>IFERROR(VLOOKUP(A27,Info!A:L,5,0),"")</f>
        <v/>
      </c>
      <c r="E27" s="19" t="str">
        <f>IFERROR(VLOOKUP(A27,Info!A:L,6,0),"")</f>
        <v/>
      </c>
      <c r="F27" s="17" t="str">
        <f>IFERROR(VLOOKUP(A27,Info!A:L,9,0),"")</f>
        <v/>
      </c>
      <c r="G27" s="17" t="str">
        <f t="shared" si="0"/>
        <v/>
      </c>
      <c r="H27" s="20" t="str">
        <f>IFERROR(VLOOKUP(A27,Info!A:L,7,0),"")</f>
        <v/>
      </c>
      <c r="I27" s="21" t="str">
        <f>IFERROR(VLOOKUP(A27,Info!A:L,8,0),"")</f>
        <v/>
      </c>
      <c r="J27" s="22" t="str">
        <f>IFERROR(VLOOKUP(A27,Info!A:M,13,0),"")</f>
        <v/>
      </c>
      <c r="K27" s="20" t="str">
        <f t="shared" si="2"/>
        <v/>
      </c>
      <c r="L27" s="17"/>
      <c r="M27" s="23" t="str">
        <f>IFERROR(VLOOKUP(A27,Info!A:L,10,0),"")</f>
        <v/>
      </c>
      <c r="N27" s="17" t="str">
        <f>IFERROR(VLOOKUP(A27,Info!A:L,11,0),"")</f>
        <v/>
      </c>
    </row>
    <row r="28" spans="1:14" s="7" customFormat="1" ht="21" customHeight="1" x14ac:dyDescent="0.25">
      <c r="A28" s="17">
        <f t="shared" si="3"/>
        <v>21</v>
      </c>
      <c r="B28" s="17" t="str">
        <f>IFERROR(VLOOKUP(A28,Info!A:L,4,0),"")</f>
        <v/>
      </c>
      <c r="C28" s="18" t="str">
        <f>IFERROR(VLOOKUP(A28,Info!A:L,3,0),"")</f>
        <v/>
      </c>
      <c r="D28" s="17" t="str">
        <f>IFERROR(VLOOKUP(A28,Info!A:L,5,0),"")</f>
        <v/>
      </c>
      <c r="E28" s="19" t="str">
        <f>IFERROR(VLOOKUP(A28,Info!A:L,6,0),"")</f>
        <v/>
      </c>
      <c r="F28" s="17" t="str">
        <f>IFERROR(VLOOKUP(A28,Info!A:L,9,0),"")</f>
        <v/>
      </c>
      <c r="G28" s="17" t="str">
        <f t="shared" si="0"/>
        <v/>
      </c>
      <c r="H28" s="20" t="str">
        <f>IFERROR(VLOOKUP(A28,Info!A:L,7,0),"")</f>
        <v/>
      </c>
      <c r="I28" s="21" t="str">
        <f>IFERROR(VLOOKUP(A28,Info!A:L,8,0),"")</f>
        <v/>
      </c>
      <c r="J28" s="22" t="str">
        <f>IFERROR(VLOOKUP(A28,Info!A:M,13,0),"")</f>
        <v/>
      </c>
      <c r="K28" s="20" t="str">
        <f t="shared" si="2"/>
        <v/>
      </c>
      <c r="L28" s="17"/>
      <c r="M28" s="23" t="str">
        <f>IFERROR(VLOOKUP(A28,Info!A:L,10,0),"")</f>
        <v/>
      </c>
      <c r="N28" s="17" t="str">
        <f>IFERROR(VLOOKUP(A28,Info!A:L,11,0),"")</f>
        <v/>
      </c>
    </row>
    <row r="29" spans="1:14" s="7" customFormat="1" ht="21" customHeight="1" x14ac:dyDescent="0.25">
      <c r="A29" s="17">
        <f t="shared" si="3"/>
        <v>22</v>
      </c>
      <c r="B29" s="17" t="str">
        <f>IFERROR(VLOOKUP(A29,Info!A:L,4,0),"")</f>
        <v/>
      </c>
      <c r="C29" s="18" t="str">
        <f>IFERROR(VLOOKUP(A29,Info!A:L,3,0),"")</f>
        <v/>
      </c>
      <c r="D29" s="17" t="str">
        <f>IFERROR(VLOOKUP(A29,Info!A:L,5,0),"")</f>
        <v/>
      </c>
      <c r="E29" s="19" t="str">
        <f>IFERROR(VLOOKUP(A29,Info!A:L,6,0),"")</f>
        <v/>
      </c>
      <c r="F29" s="17" t="str">
        <f>IFERROR(VLOOKUP(A29,Info!A:L,9,0),"")</f>
        <v/>
      </c>
      <c r="G29" s="17" t="str">
        <f t="shared" si="0"/>
        <v/>
      </c>
      <c r="H29" s="20" t="str">
        <f>IFERROR(VLOOKUP(A29,Info!A:L,7,0),"")</f>
        <v/>
      </c>
      <c r="I29" s="21" t="str">
        <f>IFERROR(VLOOKUP(A29,Info!A:L,8,0),"")</f>
        <v/>
      </c>
      <c r="J29" s="22" t="str">
        <f>IFERROR(VLOOKUP(A29,Info!A:M,13,0),"")</f>
        <v/>
      </c>
      <c r="K29" s="20" t="str">
        <f t="shared" si="2"/>
        <v/>
      </c>
      <c r="L29" s="17"/>
      <c r="M29" s="23" t="str">
        <f>IFERROR(VLOOKUP(A29,Info!A:L,10,0),"")</f>
        <v/>
      </c>
      <c r="N29" s="17" t="str">
        <f>IFERROR(VLOOKUP(A29,Info!A:L,11,0),"")</f>
        <v/>
      </c>
    </row>
    <row r="30" spans="1:14" s="7" customFormat="1" ht="21" customHeight="1" x14ac:dyDescent="0.25">
      <c r="A30" s="17">
        <f t="shared" si="3"/>
        <v>23</v>
      </c>
      <c r="B30" s="17" t="str">
        <f>IFERROR(VLOOKUP(A30,Info!A:L,4,0),"")</f>
        <v/>
      </c>
      <c r="C30" s="18" t="str">
        <f>IFERROR(VLOOKUP(A30,Info!A:L,3,0),"")</f>
        <v/>
      </c>
      <c r="D30" s="17" t="str">
        <f>IFERROR(VLOOKUP(A30,Info!A:L,5,0),"")</f>
        <v/>
      </c>
      <c r="E30" s="19" t="str">
        <f>IFERROR(VLOOKUP(A30,Info!A:L,6,0),"")</f>
        <v/>
      </c>
      <c r="F30" s="17" t="str">
        <f>IFERROR(VLOOKUP(A30,Info!A:L,9,0),"")</f>
        <v/>
      </c>
      <c r="G30" s="17" t="str">
        <f t="shared" si="0"/>
        <v/>
      </c>
      <c r="H30" s="20" t="str">
        <f>IFERROR(VLOOKUP(A30,Info!A:L,7,0),"")</f>
        <v/>
      </c>
      <c r="I30" s="21" t="str">
        <f>IFERROR(VLOOKUP(A30,Info!A:L,8,0),"")</f>
        <v/>
      </c>
      <c r="J30" s="22" t="str">
        <f>IFERROR(VLOOKUP(A30,Info!A:M,13,0),"")</f>
        <v/>
      </c>
      <c r="K30" s="20" t="str">
        <f t="shared" si="2"/>
        <v/>
      </c>
      <c r="L30" s="17"/>
      <c r="M30" s="23" t="str">
        <f>IFERROR(VLOOKUP(A30,Info!A:L,10,0),"")</f>
        <v/>
      </c>
      <c r="N30" s="17" t="str">
        <f>IFERROR(VLOOKUP(A30,Info!A:L,11,0),"")</f>
        <v/>
      </c>
    </row>
    <row r="31" spans="1:14" s="7" customFormat="1" ht="21" customHeight="1" x14ac:dyDescent="0.25">
      <c r="A31" s="17">
        <f t="shared" si="3"/>
        <v>24</v>
      </c>
      <c r="B31" s="17" t="str">
        <f>IFERROR(VLOOKUP(A31,Info!A:L,4,0),"")</f>
        <v/>
      </c>
      <c r="C31" s="18" t="str">
        <f>IFERROR(VLOOKUP(A31,Info!A:L,3,0),"")</f>
        <v/>
      </c>
      <c r="D31" s="17" t="str">
        <f>IFERROR(VLOOKUP(A31,Info!A:L,5,0),"")</f>
        <v/>
      </c>
      <c r="E31" s="19" t="str">
        <f>IFERROR(VLOOKUP(A31,Info!A:L,6,0),"")</f>
        <v/>
      </c>
      <c r="F31" s="17" t="str">
        <f>IFERROR(VLOOKUP(A31,Info!A:L,9,0),"")</f>
        <v/>
      </c>
      <c r="G31" s="17" t="str">
        <f t="shared" si="0"/>
        <v/>
      </c>
      <c r="H31" s="20" t="str">
        <f>IFERROR(VLOOKUP(A31,Info!A:L,7,0),"")</f>
        <v/>
      </c>
      <c r="I31" s="21" t="str">
        <f>IFERROR(VLOOKUP(A31,Info!A:L,8,0),"")</f>
        <v/>
      </c>
      <c r="J31" s="22" t="str">
        <f>IFERROR(VLOOKUP(A31,Info!A:M,13,0),"")</f>
        <v/>
      </c>
      <c r="K31" s="20" t="str">
        <f t="shared" si="2"/>
        <v/>
      </c>
      <c r="L31" s="17"/>
      <c r="M31" s="23" t="str">
        <f>IFERROR(VLOOKUP(A31,Info!A:L,10,0),"")</f>
        <v/>
      </c>
      <c r="N31" s="17" t="str">
        <f>IFERROR(VLOOKUP(A31,Info!A:L,11,0),"")</f>
        <v/>
      </c>
    </row>
    <row r="32" spans="1:14" s="7" customFormat="1" ht="21" customHeight="1" x14ac:dyDescent="0.25">
      <c r="A32" s="17">
        <f t="shared" si="3"/>
        <v>25</v>
      </c>
      <c r="B32" s="17" t="str">
        <f>IFERROR(VLOOKUP(A32,Info!A:L,4,0),"")</f>
        <v/>
      </c>
      <c r="C32" s="18" t="str">
        <f>IFERROR(VLOOKUP(A32,Info!A:L,3,0),"")</f>
        <v/>
      </c>
      <c r="D32" s="17" t="str">
        <f>IFERROR(VLOOKUP(A32,Info!A:L,5,0),"")</f>
        <v/>
      </c>
      <c r="E32" s="19" t="str">
        <f>IFERROR(VLOOKUP(A32,Info!A:L,6,0),"")</f>
        <v/>
      </c>
      <c r="F32" s="17" t="str">
        <f>IFERROR(VLOOKUP(A32,Info!A:L,9,0),"")</f>
        <v/>
      </c>
      <c r="G32" s="17" t="str">
        <f t="shared" si="0"/>
        <v/>
      </c>
      <c r="H32" s="20" t="str">
        <f>IFERROR(VLOOKUP(A32,Info!A:L,7,0),"")</f>
        <v/>
      </c>
      <c r="I32" s="21" t="str">
        <f>IFERROR(VLOOKUP(A32,Info!A:L,8,0),"")</f>
        <v/>
      </c>
      <c r="J32" s="22" t="str">
        <f>IFERROR(VLOOKUP(A32,Info!A:M,13,0),"")</f>
        <v/>
      </c>
      <c r="K32" s="20" t="str">
        <f t="shared" si="2"/>
        <v/>
      </c>
      <c r="L32" s="17"/>
      <c r="M32" s="23" t="str">
        <f>IFERROR(VLOOKUP(A32,Info!A:L,10,0),"")</f>
        <v/>
      </c>
      <c r="N32" s="17" t="str">
        <f>IFERROR(VLOOKUP(A32,Info!A:L,11,0),"")</f>
        <v/>
      </c>
    </row>
    <row r="33" spans="1:14" s="7" customFormat="1" ht="21" customHeight="1" x14ac:dyDescent="0.25">
      <c r="A33" s="17">
        <f t="shared" si="3"/>
        <v>26</v>
      </c>
      <c r="B33" s="17" t="str">
        <f>IFERROR(VLOOKUP(A33,Info!A:L,4,0),"")</f>
        <v/>
      </c>
      <c r="C33" s="18" t="str">
        <f>IFERROR(VLOOKUP(A33,Info!A:L,3,0),"")</f>
        <v/>
      </c>
      <c r="D33" s="17" t="str">
        <f>IFERROR(VLOOKUP(A33,Info!A:L,5,0),"")</f>
        <v/>
      </c>
      <c r="E33" s="19" t="str">
        <f>IFERROR(VLOOKUP(A33,Info!A:L,6,0),"")</f>
        <v/>
      </c>
      <c r="F33" s="17" t="str">
        <f>IFERROR(VLOOKUP(A33,Info!A:L,9,0),"")</f>
        <v/>
      </c>
      <c r="G33" s="17" t="str">
        <f t="shared" si="0"/>
        <v/>
      </c>
      <c r="H33" s="20" t="str">
        <f>IFERROR(VLOOKUP(A33,Info!A:L,7,0),"")</f>
        <v/>
      </c>
      <c r="I33" s="21" t="str">
        <f>IFERROR(VLOOKUP(A33,Info!A:L,8,0),"")</f>
        <v/>
      </c>
      <c r="J33" s="22" t="str">
        <f>IFERROR(VLOOKUP(A33,Info!A:M,13,0),"")</f>
        <v/>
      </c>
      <c r="K33" s="20" t="str">
        <f t="shared" si="2"/>
        <v/>
      </c>
      <c r="L33" s="17"/>
      <c r="M33" s="23" t="str">
        <f>IFERROR(VLOOKUP(A33,Info!A:L,10,0),"")</f>
        <v/>
      </c>
      <c r="N33" s="17" t="str">
        <f>IFERROR(VLOOKUP(A33,Info!A:L,11,0),"")</f>
        <v/>
      </c>
    </row>
    <row r="34" spans="1:14" s="7" customFormat="1" ht="21" customHeight="1" x14ac:dyDescent="0.25">
      <c r="A34" s="17">
        <f t="shared" si="3"/>
        <v>27</v>
      </c>
      <c r="B34" s="17" t="str">
        <f>IFERROR(VLOOKUP(A34,Info!A:L,4,0),"")</f>
        <v/>
      </c>
      <c r="C34" s="18" t="str">
        <f>IFERROR(VLOOKUP(A34,Info!A:L,3,0),"")</f>
        <v/>
      </c>
      <c r="D34" s="17" t="str">
        <f>IFERROR(VLOOKUP(A34,Info!A:L,5,0),"")</f>
        <v/>
      </c>
      <c r="E34" s="19" t="str">
        <f>IFERROR(VLOOKUP(A34,Info!A:L,6,0),"")</f>
        <v/>
      </c>
      <c r="F34" s="17" t="str">
        <f>IFERROR(VLOOKUP(A34,Info!A:L,9,0),"")</f>
        <v/>
      </c>
      <c r="G34" s="17" t="str">
        <f t="shared" si="0"/>
        <v/>
      </c>
      <c r="H34" s="20" t="str">
        <f>IFERROR(VLOOKUP(A34,Info!A:L,7,0),"")</f>
        <v/>
      </c>
      <c r="I34" s="21" t="str">
        <f>IFERROR(VLOOKUP(A34,Info!A:L,8,0),"")</f>
        <v/>
      </c>
      <c r="J34" s="22" t="str">
        <f>IFERROR(VLOOKUP(A34,Info!A:M,13,0),"")</f>
        <v/>
      </c>
      <c r="K34" s="20" t="str">
        <f t="shared" si="2"/>
        <v/>
      </c>
      <c r="L34" s="17"/>
      <c r="M34" s="23" t="str">
        <f>IFERROR(VLOOKUP(A34,Info!A:L,10,0),"")</f>
        <v/>
      </c>
      <c r="N34" s="17" t="str">
        <f>IFERROR(VLOOKUP(A34,Info!A:L,11,0),"")</f>
        <v/>
      </c>
    </row>
    <row r="35" spans="1:14" s="7" customFormat="1" ht="21" customHeight="1" x14ac:dyDescent="0.25">
      <c r="A35" s="17">
        <f t="shared" si="3"/>
        <v>28</v>
      </c>
      <c r="B35" s="17" t="str">
        <f>IFERROR(VLOOKUP(A35,Info!A:L,4,0),"")</f>
        <v/>
      </c>
      <c r="C35" s="18" t="str">
        <f>IFERROR(VLOOKUP(A35,Info!A:L,3,0),"")</f>
        <v/>
      </c>
      <c r="D35" s="17" t="str">
        <f>IFERROR(VLOOKUP(A35,Info!A:L,5,0),"")</f>
        <v/>
      </c>
      <c r="E35" s="19" t="str">
        <f>IFERROR(VLOOKUP(A35,Info!A:L,6,0),"")</f>
        <v/>
      </c>
      <c r="F35" s="17" t="str">
        <f>IFERROR(VLOOKUP(A35,Info!A:L,9,0),"")</f>
        <v/>
      </c>
      <c r="G35" s="17" t="str">
        <f t="shared" si="0"/>
        <v/>
      </c>
      <c r="H35" s="20" t="str">
        <f>IFERROR(VLOOKUP(A35,Info!A:L,7,0),"")</f>
        <v/>
      </c>
      <c r="I35" s="21" t="str">
        <f>IFERROR(VLOOKUP(A35,Info!A:L,8,0),"")</f>
        <v/>
      </c>
      <c r="J35" s="22" t="str">
        <f>IFERROR(VLOOKUP(A35,Info!A:M,13,0),"")</f>
        <v/>
      </c>
      <c r="K35" s="20" t="str">
        <f t="shared" si="2"/>
        <v/>
      </c>
      <c r="L35" s="17"/>
      <c r="M35" s="23" t="str">
        <f>IFERROR(VLOOKUP(A35,Info!A:L,10,0),"")</f>
        <v/>
      </c>
      <c r="N35" s="17" t="str">
        <f>IFERROR(VLOOKUP(A35,Info!A:L,11,0),"")</f>
        <v/>
      </c>
    </row>
    <row r="36" spans="1:14" s="7" customFormat="1" ht="21" customHeight="1" x14ac:dyDescent="0.25">
      <c r="A36" s="17">
        <f t="shared" si="3"/>
        <v>29</v>
      </c>
      <c r="B36" s="17" t="str">
        <f>IFERROR(VLOOKUP(A36,Info!A:L,4,0),"")</f>
        <v/>
      </c>
      <c r="C36" s="18" t="str">
        <f>IFERROR(VLOOKUP(A36,Info!A:L,3,0),"")</f>
        <v/>
      </c>
      <c r="D36" s="17" t="str">
        <f>IFERROR(VLOOKUP(A36,Info!A:L,5,0),"")</f>
        <v/>
      </c>
      <c r="E36" s="19" t="str">
        <f>IFERROR(VLOOKUP(A36,Info!A:L,6,0),"")</f>
        <v/>
      </c>
      <c r="F36" s="17" t="str">
        <f>IFERROR(VLOOKUP(A36,Info!A:L,9,0),"")</f>
        <v/>
      </c>
      <c r="G36" s="17" t="str">
        <f t="shared" si="0"/>
        <v/>
      </c>
      <c r="H36" s="20" t="str">
        <f>IFERROR(VLOOKUP(A36,Info!A:L,7,0),"")</f>
        <v/>
      </c>
      <c r="I36" s="21" t="str">
        <f>IFERROR(VLOOKUP(A36,Info!A:L,8,0),"")</f>
        <v/>
      </c>
      <c r="J36" s="22" t="str">
        <f>IFERROR(VLOOKUP(A36,Info!A:M,13,0),"")</f>
        <v/>
      </c>
      <c r="K36" s="20" t="str">
        <f t="shared" si="2"/>
        <v/>
      </c>
      <c r="L36" s="17"/>
      <c r="M36" s="23" t="str">
        <f>IFERROR(VLOOKUP(A36,Info!A:L,10,0),"")</f>
        <v/>
      </c>
      <c r="N36" s="17" t="str">
        <f>IFERROR(VLOOKUP(A36,Info!A:L,11,0),"")</f>
        <v/>
      </c>
    </row>
    <row r="37" spans="1:14" s="7" customFormat="1" ht="21" customHeight="1" x14ac:dyDescent="0.25">
      <c r="A37" s="17">
        <f t="shared" si="3"/>
        <v>30</v>
      </c>
      <c r="B37" s="17" t="str">
        <f>IFERROR(VLOOKUP(A37,Info!A:L,4,0),"")</f>
        <v/>
      </c>
      <c r="C37" s="18" t="str">
        <f>IFERROR(VLOOKUP(A37,Info!A:L,3,0),"")</f>
        <v/>
      </c>
      <c r="D37" s="17" t="str">
        <f>IFERROR(VLOOKUP(A37,Info!A:L,5,0),"")</f>
        <v/>
      </c>
      <c r="E37" s="19" t="str">
        <f>IFERROR(VLOOKUP(A37,Info!A:L,6,0),"")</f>
        <v/>
      </c>
      <c r="F37" s="17" t="str">
        <f>IFERROR(VLOOKUP(A37,Info!A:L,9,0),"")</f>
        <v/>
      </c>
      <c r="G37" s="17" t="str">
        <f t="shared" si="0"/>
        <v/>
      </c>
      <c r="H37" s="20" t="str">
        <f>IFERROR(VLOOKUP(A37,Info!A:L,7,0),"")</f>
        <v/>
      </c>
      <c r="I37" s="21" t="str">
        <f>IFERROR(VLOOKUP(A37,Info!A:L,8,0),"")</f>
        <v/>
      </c>
      <c r="J37" s="22" t="str">
        <f>IFERROR(VLOOKUP(A37,Info!A:M,13,0),"")</f>
        <v/>
      </c>
      <c r="K37" s="20" t="str">
        <f t="shared" si="2"/>
        <v/>
      </c>
      <c r="L37" s="17"/>
      <c r="M37" s="23" t="str">
        <f>IFERROR(VLOOKUP(A37,Info!A:L,10,0),"")</f>
        <v/>
      </c>
      <c r="N37" s="17" t="str">
        <f>IFERROR(VLOOKUP(A37,Info!A:L,11,0),"")</f>
        <v/>
      </c>
    </row>
    <row r="38" spans="1:14" s="7" customFormat="1" ht="21" customHeight="1" x14ac:dyDescent="0.25">
      <c r="A38" s="60" t="s">
        <v>24</v>
      </c>
      <c r="B38" s="60"/>
      <c r="C38" s="60"/>
      <c r="D38" s="60"/>
      <c r="E38" s="19">
        <f>SUM(E8:E37)</f>
        <v>0</v>
      </c>
      <c r="F38" s="17"/>
      <c r="G38" s="17">
        <f t="shared" ref="G38:L38" si="4">SUM(G8:G37)</f>
        <v>0</v>
      </c>
      <c r="H38" s="21">
        <f t="shared" si="4"/>
        <v>0</v>
      </c>
      <c r="I38" s="21">
        <f t="shared" si="4"/>
        <v>0</v>
      </c>
      <c r="J38" s="22">
        <f t="shared" si="4"/>
        <v>0</v>
      </c>
      <c r="K38" s="20">
        <f t="shared" si="4"/>
        <v>0</v>
      </c>
      <c r="L38" s="17">
        <f t="shared" si="4"/>
        <v>0</v>
      </c>
      <c r="M38" s="24"/>
      <c r="N38" s="25"/>
    </row>
    <row r="39" spans="1:14" x14ac:dyDescent="0.3">
      <c r="A39" s="61" t="s">
        <v>28</v>
      </c>
      <c r="B39" s="61"/>
      <c r="C39" s="62" t="s">
        <v>29</v>
      </c>
      <c r="D39" s="62"/>
      <c r="E39" s="26"/>
      <c r="F39" s="26"/>
      <c r="G39" s="27"/>
      <c r="H39" s="28"/>
      <c r="I39" s="29"/>
      <c r="J39" s="29"/>
      <c r="K39" s="29"/>
      <c r="L39" s="30"/>
    </row>
    <row r="40" spans="1:14" s="7" customFormat="1" ht="13.5" x14ac:dyDescent="0.25">
      <c r="E40" s="31"/>
      <c r="F40" s="31"/>
      <c r="G40" s="32"/>
      <c r="H40" s="33"/>
      <c r="I40" s="33"/>
      <c r="J40" s="33"/>
      <c r="K40" s="33"/>
      <c r="L40" s="34"/>
    </row>
    <row r="41" spans="1:14" x14ac:dyDescent="0.3">
      <c r="A41" s="35"/>
      <c r="B41" s="35"/>
      <c r="C41" s="28"/>
      <c r="D41" s="36"/>
      <c r="E41" s="36"/>
      <c r="F41" s="36"/>
      <c r="G41" s="37"/>
      <c r="H41" s="28"/>
      <c r="I41" s="28"/>
      <c r="J41" s="28"/>
      <c r="K41" s="28"/>
      <c r="L41" s="38"/>
    </row>
    <row r="42" spans="1:14" x14ac:dyDescent="0.3">
      <c r="A42" s="56"/>
      <c r="B42" s="56"/>
      <c r="C42" s="39"/>
      <c r="D42" s="36"/>
      <c r="E42" s="56"/>
      <c r="F42" s="56"/>
      <c r="G42" s="39"/>
      <c r="H42" s="28"/>
      <c r="I42" s="56"/>
      <c r="J42" s="56"/>
      <c r="K42" s="39"/>
      <c r="L42" s="38"/>
    </row>
    <row r="43" spans="1:14" x14ac:dyDescent="0.3">
      <c r="A43" s="35"/>
      <c r="B43" s="35"/>
      <c r="C43" s="28"/>
      <c r="D43" s="36"/>
      <c r="E43" s="36"/>
      <c r="F43" s="36"/>
      <c r="G43" s="37"/>
      <c r="H43" s="28"/>
      <c r="I43" s="28"/>
      <c r="J43" s="28"/>
      <c r="K43" s="28"/>
      <c r="L43" s="38"/>
    </row>
    <row r="44" spans="1:14" x14ac:dyDescent="0.3">
      <c r="A44" s="35"/>
      <c r="B44" s="35"/>
      <c r="C44" s="28"/>
      <c r="D44" s="36"/>
      <c r="E44" s="36"/>
      <c r="F44" s="36"/>
      <c r="G44" s="37"/>
      <c r="H44" s="28"/>
      <c r="I44" s="28"/>
      <c r="J44" s="28"/>
      <c r="K44" s="28"/>
      <c r="L44" s="38"/>
    </row>
    <row r="45" spans="1:14" x14ac:dyDescent="0.3">
      <c r="A45" s="40"/>
      <c r="B45" s="40"/>
      <c r="C45" s="29"/>
      <c r="D45" s="36"/>
      <c r="E45" s="26"/>
      <c r="F45" s="26"/>
      <c r="G45" s="27"/>
      <c r="H45" s="28"/>
      <c r="I45" s="29"/>
      <c r="J45" s="29"/>
      <c r="K45" s="29"/>
      <c r="L45" s="30"/>
    </row>
    <row r="46" spans="1:14" x14ac:dyDescent="0.3">
      <c r="A46" s="40"/>
      <c r="B46" s="40"/>
      <c r="C46" s="29"/>
      <c r="D46" s="36"/>
      <c r="E46" s="26"/>
      <c r="F46" s="26"/>
      <c r="G46" s="27"/>
      <c r="H46" s="28"/>
      <c r="I46" s="29"/>
      <c r="J46" s="29"/>
      <c r="K46" s="29"/>
      <c r="L46" s="30"/>
    </row>
    <row r="47" spans="1:14" x14ac:dyDescent="0.3">
      <c r="A47" s="40"/>
      <c r="B47" s="40"/>
      <c r="C47" s="29"/>
      <c r="D47" s="36"/>
      <c r="E47" s="26"/>
      <c r="F47" s="26"/>
      <c r="G47" s="27"/>
      <c r="H47" s="28"/>
      <c r="I47" s="29"/>
      <c r="J47" s="29"/>
      <c r="K47" s="29"/>
      <c r="L47" s="30"/>
    </row>
    <row r="48" spans="1:14" x14ac:dyDescent="0.3">
      <c r="A48" s="40"/>
      <c r="B48" s="40"/>
      <c r="C48" s="29"/>
      <c r="D48" s="36"/>
      <c r="E48" s="26"/>
      <c r="F48" s="26"/>
      <c r="G48" s="27"/>
      <c r="H48" s="28"/>
      <c r="I48" s="29"/>
      <c r="J48" s="29"/>
      <c r="K48" s="29"/>
      <c r="L48" s="30"/>
    </row>
    <row r="49" spans="1:12" x14ac:dyDescent="0.3">
      <c r="A49" s="40"/>
      <c r="B49" s="40"/>
      <c r="C49" s="29"/>
      <c r="D49" s="36"/>
      <c r="E49" s="26"/>
      <c r="F49" s="26"/>
      <c r="G49" s="27"/>
      <c r="H49" s="28"/>
      <c r="I49" s="29"/>
      <c r="J49" s="29"/>
      <c r="K49" s="29"/>
      <c r="L49" s="30"/>
    </row>
    <row r="50" spans="1:12" x14ac:dyDescent="0.3">
      <c r="A50" s="40"/>
      <c r="B50" s="40"/>
      <c r="C50" s="29"/>
      <c r="D50" s="36"/>
      <c r="E50" s="26"/>
      <c r="F50" s="26"/>
      <c r="G50" s="27"/>
      <c r="H50" s="28"/>
      <c r="I50" s="29"/>
      <c r="J50" s="29"/>
      <c r="K50" s="29"/>
      <c r="L50" s="30"/>
    </row>
    <row r="51" spans="1:12" x14ac:dyDescent="0.3">
      <c r="A51" s="40"/>
      <c r="B51" s="40"/>
      <c r="C51" s="29"/>
      <c r="D51" s="36"/>
      <c r="E51" s="26"/>
      <c r="F51" s="26"/>
      <c r="G51" s="27"/>
      <c r="H51" s="28"/>
      <c r="I51" s="29"/>
      <c r="J51" s="29"/>
      <c r="K51" s="29"/>
      <c r="L51" s="30"/>
    </row>
    <row r="52" spans="1:12" x14ac:dyDescent="0.3">
      <c r="A52" s="40"/>
      <c r="B52" s="40"/>
      <c r="C52" s="29"/>
      <c r="D52" s="36"/>
      <c r="E52" s="26"/>
      <c r="F52" s="26"/>
      <c r="G52" s="27"/>
      <c r="H52" s="28"/>
      <c r="I52" s="29"/>
      <c r="J52" s="29"/>
      <c r="K52" s="29"/>
      <c r="L52" s="30"/>
    </row>
    <row r="53" spans="1:12" x14ac:dyDescent="0.3">
      <c r="A53" s="40"/>
      <c r="B53" s="40"/>
      <c r="C53" s="29"/>
      <c r="D53" s="36"/>
      <c r="E53" s="26"/>
      <c r="F53" s="26"/>
      <c r="G53" s="27"/>
      <c r="H53" s="28"/>
      <c r="I53" s="29"/>
      <c r="J53" s="29"/>
      <c r="K53" s="29"/>
      <c r="L53" s="30"/>
    </row>
    <row r="54" spans="1:12" x14ac:dyDescent="0.3">
      <c r="A54" s="40"/>
      <c r="B54" s="40"/>
      <c r="C54" s="29"/>
      <c r="D54" s="36"/>
      <c r="E54" s="26"/>
      <c r="F54" s="26"/>
      <c r="G54" s="27"/>
      <c r="H54" s="28"/>
      <c r="I54" s="29"/>
      <c r="J54" s="29"/>
      <c r="K54" s="29"/>
      <c r="L54" s="30"/>
    </row>
    <row r="55" spans="1:12" x14ac:dyDescent="0.3">
      <c r="A55" s="40"/>
      <c r="B55" s="40"/>
      <c r="C55" s="29"/>
      <c r="D55" s="36"/>
      <c r="E55" s="26"/>
      <c r="F55" s="26"/>
      <c r="G55" s="27"/>
      <c r="H55" s="28"/>
      <c r="I55" s="29"/>
      <c r="J55" s="29"/>
      <c r="K55" s="29"/>
      <c r="L55" s="30"/>
    </row>
    <row r="56" spans="1:12" x14ac:dyDescent="0.3">
      <c r="A56" s="40"/>
      <c r="B56" s="40"/>
      <c r="C56" s="29"/>
      <c r="D56" s="36"/>
      <c r="E56" s="26"/>
      <c r="F56" s="26"/>
      <c r="G56" s="27"/>
      <c r="H56" s="28"/>
      <c r="I56" s="29"/>
      <c r="J56" s="29"/>
      <c r="K56" s="29"/>
      <c r="L56" s="30"/>
    </row>
    <row r="57" spans="1:12" x14ac:dyDescent="0.3">
      <c r="A57" s="40"/>
      <c r="B57" s="40"/>
      <c r="C57" s="29"/>
      <c r="D57" s="36"/>
      <c r="E57" s="26"/>
      <c r="F57" s="26"/>
      <c r="G57" s="27"/>
      <c r="H57" s="28"/>
      <c r="I57" s="29"/>
      <c r="J57" s="29"/>
      <c r="K57" s="29"/>
      <c r="L57" s="30"/>
    </row>
    <row r="58" spans="1:12" x14ac:dyDescent="0.3">
      <c r="A58" s="40"/>
      <c r="B58" s="40"/>
      <c r="C58" s="29"/>
      <c r="D58" s="36"/>
      <c r="E58" s="26"/>
      <c r="F58" s="26"/>
      <c r="G58" s="27"/>
      <c r="H58" s="28"/>
      <c r="I58" s="29"/>
      <c r="J58" s="29"/>
      <c r="K58" s="29"/>
      <c r="L58" s="30"/>
    </row>
    <row r="59" spans="1:12" x14ac:dyDescent="0.3">
      <c r="A59" s="40"/>
      <c r="B59" s="40"/>
      <c r="C59" s="29"/>
      <c r="D59" s="36"/>
      <c r="E59" s="26"/>
      <c r="F59" s="26"/>
      <c r="G59" s="27"/>
      <c r="H59" s="28"/>
      <c r="I59" s="29"/>
      <c r="J59" s="29"/>
      <c r="K59" s="29"/>
      <c r="L59" s="30"/>
    </row>
    <row r="60" spans="1:12" x14ac:dyDescent="0.3">
      <c r="A60" s="40"/>
      <c r="B60" s="40"/>
      <c r="C60" s="29"/>
      <c r="D60" s="36"/>
      <c r="E60" s="26"/>
      <c r="F60" s="26"/>
      <c r="G60" s="27"/>
      <c r="H60" s="28"/>
      <c r="I60" s="29"/>
      <c r="J60" s="29"/>
      <c r="K60" s="29"/>
      <c r="L60" s="30"/>
    </row>
    <row r="61" spans="1:12" x14ac:dyDescent="0.3">
      <c r="A61" s="40"/>
      <c r="B61" s="40"/>
      <c r="C61" s="29"/>
      <c r="D61" s="36"/>
      <c r="E61" s="26"/>
      <c r="F61" s="26"/>
      <c r="G61" s="27"/>
      <c r="H61" s="28"/>
      <c r="I61" s="29"/>
      <c r="J61" s="29"/>
      <c r="K61" s="29"/>
      <c r="L61" s="30"/>
    </row>
    <row r="62" spans="1:12" x14ac:dyDescent="0.3">
      <c r="A62" s="40"/>
      <c r="B62" s="40"/>
      <c r="C62" s="29"/>
      <c r="D62" s="36"/>
      <c r="E62" s="26"/>
      <c r="F62" s="26"/>
      <c r="G62" s="27"/>
      <c r="H62" s="28"/>
      <c r="I62" s="29"/>
      <c r="J62" s="29"/>
      <c r="K62" s="29"/>
      <c r="L62" s="30"/>
    </row>
    <row r="63" spans="1:12" x14ac:dyDescent="0.3">
      <c r="A63" s="40"/>
      <c r="B63" s="40"/>
      <c r="C63" s="29"/>
      <c r="D63" s="36"/>
      <c r="E63" s="26"/>
      <c r="F63" s="26"/>
      <c r="G63" s="27"/>
      <c r="H63" s="28"/>
      <c r="I63" s="29"/>
      <c r="J63" s="29"/>
      <c r="K63" s="29"/>
      <c r="L63" s="30"/>
    </row>
    <row r="64" spans="1:12" x14ac:dyDescent="0.3">
      <c r="A64" s="40"/>
      <c r="B64" s="40"/>
      <c r="C64" s="29"/>
      <c r="D64" s="36"/>
      <c r="E64" s="26"/>
      <c r="F64" s="26"/>
      <c r="G64" s="27"/>
      <c r="H64" s="28"/>
      <c r="I64" s="29"/>
      <c r="J64" s="29"/>
      <c r="K64" s="29"/>
      <c r="L64" s="30"/>
    </row>
    <row r="65" spans="1:12" x14ac:dyDescent="0.3">
      <c r="A65" s="40"/>
      <c r="B65" s="40"/>
      <c r="C65" s="29"/>
      <c r="D65" s="36"/>
      <c r="E65" s="26"/>
      <c r="F65" s="26"/>
      <c r="G65" s="27"/>
      <c r="H65" s="28"/>
      <c r="I65" s="29"/>
      <c r="J65" s="29"/>
      <c r="K65" s="29"/>
      <c r="L65" s="30"/>
    </row>
    <row r="66" spans="1:12" x14ac:dyDescent="0.3">
      <c r="A66" s="40"/>
      <c r="B66" s="40"/>
      <c r="C66" s="29"/>
      <c r="D66" s="36"/>
      <c r="E66" s="26"/>
      <c r="F66" s="26"/>
      <c r="G66" s="27"/>
      <c r="H66" s="28"/>
      <c r="I66" s="29"/>
      <c r="J66" s="29"/>
      <c r="K66" s="29"/>
      <c r="L66" s="30"/>
    </row>
    <row r="67" spans="1:12" x14ac:dyDescent="0.3">
      <c r="A67" s="40"/>
      <c r="B67" s="40"/>
      <c r="C67" s="29"/>
      <c r="D67" s="36"/>
      <c r="E67" s="26"/>
      <c r="F67" s="26"/>
      <c r="G67" s="27"/>
      <c r="H67" s="28"/>
      <c r="I67" s="29"/>
      <c r="J67" s="29"/>
      <c r="K67" s="29"/>
      <c r="L67" s="30"/>
    </row>
    <row r="68" spans="1:12" x14ac:dyDescent="0.3">
      <c r="A68" s="40"/>
      <c r="B68" s="40"/>
      <c r="C68" s="29"/>
      <c r="D68" s="36"/>
      <c r="E68" s="26"/>
      <c r="F68" s="26"/>
      <c r="G68" s="27"/>
      <c r="H68" s="28"/>
      <c r="I68" s="29"/>
      <c r="J68" s="29"/>
      <c r="K68" s="29"/>
      <c r="L68" s="30"/>
    </row>
    <row r="69" spans="1:12" x14ac:dyDescent="0.3">
      <c r="A69" s="40"/>
      <c r="B69" s="40"/>
      <c r="C69" s="29"/>
      <c r="D69" s="36"/>
      <c r="E69" s="26"/>
      <c r="F69" s="26"/>
      <c r="G69" s="27"/>
      <c r="H69" s="28"/>
      <c r="I69" s="29"/>
      <c r="J69" s="29"/>
      <c r="K69" s="29"/>
      <c r="L69" s="30"/>
    </row>
    <row r="70" spans="1:12" x14ac:dyDescent="0.3">
      <c r="A70" s="40"/>
      <c r="B70" s="40"/>
      <c r="C70" s="29"/>
      <c r="D70" s="36"/>
      <c r="E70" s="26"/>
      <c r="F70" s="26"/>
      <c r="G70" s="27"/>
      <c r="H70" s="28"/>
      <c r="I70" s="29"/>
      <c r="J70" s="29"/>
      <c r="K70" s="29"/>
      <c r="L70" s="30"/>
    </row>
    <row r="71" spans="1:12" x14ac:dyDescent="0.3">
      <c r="A71" s="40"/>
      <c r="B71" s="40"/>
      <c r="C71" s="29"/>
      <c r="D71" s="36"/>
      <c r="E71" s="26"/>
      <c r="F71" s="26"/>
      <c r="G71" s="27"/>
      <c r="H71" s="28"/>
      <c r="I71" s="29"/>
      <c r="J71" s="29"/>
      <c r="K71" s="29"/>
      <c r="L71" s="30"/>
    </row>
    <row r="72" spans="1:12" x14ac:dyDescent="0.3">
      <c r="A72" s="40"/>
      <c r="B72" s="40"/>
      <c r="C72" s="29"/>
      <c r="D72" s="36"/>
      <c r="E72" s="26"/>
      <c r="F72" s="26"/>
      <c r="G72" s="27"/>
      <c r="H72" s="28"/>
      <c r="I72" s="29"/>
      <c r="J72" s="29"/>
      <c r="K72" s="29"/>
      <c r="L72" s="30"/>
    </row>
    <row r="73" spans="1:12" x14ac:dyDescent="0.3">
      <c r="A73" s="40"/>
      <c r="B73" s="40"/>
      <c r="C73" s="29"/>
      <c r="D73" s="36"/>
      <c r="E73" s="26"/>
      <c r="F73" s="26"/>
      <c r="G73" s="27"/>
      <c r="H73" s="28"/>
      <c r="I73" s="29"/>
      <c r="J73" s="29"/>
      <c r="K73" s="29"/>
      <c r="L73" s="30"/>
    </row>
    <row r="74" spans="1:12" x14ac:dyDescent="0.3">
      <c r="A74" s="40"/>
      <c r="B74" s="40"/>
      <c r="C74" s="29"/>
      <c r="D74" s="36"/>
      <c r="E74" s="26"/>
      <c r="F74" s="26"/>
      <c r="G74" s="27"/>
      <c r="H74" s="28"/>
      <c r="I74" s="29"/>
      <c r="J74" s="29"/>
      <c r="K74" s="29"/>
      <c r="L74" s="30"/>
    </row>
    <row r="75" spans="1:12" x14ac:dyDescent="0.3">
      <c r="A75" s="40"/>
      <c r="B75" s="40"/>
      <c r="C75" s="29"/>
      <c r="D75" s="36"/>
      <c r="E75" s="26"/>
      <c r="F75" s="26"/>
      <c r="G75" s="27"/>
      <c r="H75" s="28"/>
      <c r="I75" s="29"/>
      <c r="J75" s="29"/>
      <c r="K75" s="29"/>
      <c r="L75" s="30"/>
    </row>
    <row r="76" spans="1:12" x14ac:dyDescent="0.3">
      <c r="A76" s="40"/>
      <c r="B76" s="40"/>
      <c r="C76" s="29"/>
      <c r="D76" s="36"/>
      <c r="E76" s="26"/>
      <c r="F76" s="26"/>
      <c r="G76" s="27"/>
      <c r="H76" s="28"/>
      <c r="I76" s="29"/>
      <c r="J76" s="29"/>
      <c r="K76" s="29"/>
      <c r="L76" s="30"/>
    </row>
    <row r="77" spans="1:12" x14ac:dyDescent="0.3">
      <c r="A77" s="40"/>
      <c r="B77" s="40"/>
      <c r="C77" s="29"/>
      <c r="D77" s="36"/>
      <c r="E77" s="26"/>
      <c r="F77" s="26"/>
      <c r="G77" s="27"/>
      <c r="H77" s="28"/>
      <c r="I77" s="29"/>
      <c r="J77" s="29"/>
      <c r="K77" s="29"/>
      <c r="L77" s="30"/>
    </row>
    <row r="78" spans="1:12" x14ac:dyDescent="0.3">
      <c r="A78" s="40"/>
      <c r="B78" s="40"/>
      <c r="C78" s="29"/>
      <c r="D78" s="36"/>
      <c r="E78" s="26"/>
      <c r="F78" s="26"/>
      <c r="G78" s="27"/>
      <c r="H78" s="28"/>
      <c r="I78" s="29"/>
      <c r="J78" s="29"/>
      <c r="K78" s="29"/>
      <c r="L78" s="30"/>
    </row>
    <row r="79" spans="1:12" x14ac:dyDescent="0.3">
      <c r="A79" s="40"/>
      <c r="B79" s="40"/>
      <c r="C79" s="29"/>
      <c r="D79" s="36"/>
      <c r="E79" s="26"/>
      <c r="F79" s="26"/>
      <c r="G79" s="27"/>
      <c r="H79" s="28"/>
      <c r="I79" s="29"/>
      <c r="J79" s="29"/>
      <c r="K79" s="29"/>
      <c r="L79" s="30"/>
    </row>
    <row r="80" spans="1:12" x14ac:dyDescent="0.3">
      <c r="A80" s="40"/>
      <c r="B80" s="40"/>
      <c r="C80" s="29"/>
      <c r="D80" s="36"/>
      <c r="E80" s="26"/>
      <c r="F80" s="26"/>
      <c r="G80" s="27"/>
      <c r="H80" s="28"/>
      <c r="I80" s="29"/>
      <c r="J80" s="29"/>
      <c r="K80" s="29"/>
      <c r="L80" s="30"/>
    </row>
    <row r="81" spans="1:12" x14ac:dyDescent="0.3">
      <c r="A81" s="40"/>
      <c r="B81" s="40"/>
      <c r="C81" s="29"/>
      <c r="D81" s="36"/>
      <c r="E81" s="26"/>
      <c r="F81" s="26"/>
      <c r="G81" s="27"/>
      <c r="H81" s="28"/>
      <c r="I81" s="29"/>
      <c r="J81" s="29"/>
      <c r="K81" s="29"/>
      <c r="L81" s="30"/>
    </row>
    <row r="82" spans="1:12" x14ac:dyDescent="0.3">
      <c r="A82" s="40"/>
      <c r="B82" s="40"/>
      <c r="C82" s="29"/>
      <c r="D82" s="36"/>
      <c r="E82" s="26"/>
      <c r="F82" s="26"/>
      <c r="G82" s="27"/>
      <c r="H82" s="28"/>
      <c r="I82" s="29"/>
      <c r="J82" s="29"/>
      <c r="K82" s="29"/>
      <c r="L82" s="30"/>
    </row>
    <row r="83" spans="1:12" x14ac:dyDescent="0.3">
      <c r="A83" s="40"/>
      <c r="B83" s="40"/>
      <c r="C83" s="29"/>
      <c r="D83" s="36"/>
      <c r="E83" s="26"/>
      <c r="F83" s="26"/>
      <c r="G83" s="27"/>
      <c r="H83" s="28"/>
      <c r="I83" s="29"/>
      <c r="J83" s="29"/>
      <c r="K83" s="29"/>
      <c r="L83" s="30"/>
    </row>
    <row r="84" spans="1:12" x14ac:dyDescent="0.3">
      <c r="A84" s="40"/>
      <c r="B84" s="40"/>
      <c r="C84" s="29"/>
      <c r="D84" s="36"/>
      <c r="E84" s="26"/>
      <c r="F84" s="26"/>
      <c r="G84" s="27"/>
      <c r="H84" s="28"/>
      <c r="I84" s="29"/>
      <c r="J84" s="29"/>
      <c r="K84" s="29"/>
      <c r="L84" s="30"/>
    </row>
    <row r="85" spans="1:12" x14ac:dyDescent="0.3">
      <c r="A85" s="40"/>
      <c r="B85" s="40"/>
      <c r="C85" s="29"/>
      <c r="D85" s="36"/>
      <c r="E85" s="26"/>
      <c r="F85" s="26"/>
      <c r="G85" s="27"/>
      <c r="H85" s="28"/>
      <c r="I85" s="29"/>
      <c r="J85" s="29"/>
      <c r="K85" s="29"/>
      <c r="L85" s="30"/>
    </row>
    <row r="86" spans="1:12" x14ac:dyDescent="0.3">
      <c r="A86" s="40"/>
      <c r="B86" s="40"/>
      <c r="C86" s="29"/>
      <c r="D86" s="36"/>
      <c r="E86" s="26"/>
      <c r="F86" s="26"/>
      <c r="G86" s="27"/>
      <c r="H86" s="28"/>
      <c r="I86" s="29"/>
      <c r="J86" s="29"/>
      <c r="K86" s="29"/>
      <c r="L86" s="30"/>
    </row>
    <row r="87" spans="1:12" x14ac:dyDescent="0.3">
      <c r="A87" s="40"/>
      <c r="B87" s="40"/>
      <c r="C87" s="29"/>
      <c r="D87" s="36"/>
      <c r="E87" s="26"/>
      <c r="F87" s="26"/>
      <c r="G87" s="27"/>
      <c r="H87" s="28"/>
      <c r="I87" s="29"/>
      <c r="J87" s="29"/>
      <c r="K87" s="29"/>
      <c r="L87" s="30"/>
    </row>
    <row r="88" spans="1:12" x14ac:dyDescent="0.3">
      <c r="A88" s="40"/>
      <c r="B88" s="40"/>
      <c r="C88" s="29"/>
      <c r="D88" s="36"/>
      <c r="E88" s="26"/>
      <c r="F88" s="26"/>
      <c r="G88" s="27"/>
      <c r="H88" s="28"/>
      <c r="I88" s="29"/>
      <c r="J88" s="29"/>
      <c r="K88" s="29"/>
      <c r="L88" s="30"/>
    </row>
    <row r="89" spans="1:12" x14ac:dyDescent="0.3">
      <c r="A89" s="40"/>
      <c r="B89" s="40"/>
      <c r="C89" s="29"/>
      <c r="D89" s="36"/>
      <c r="E89" s="26"/>
      <c r="F89" s="26"/>
      <c r="G89" s="27"/>
      <c r="H89" s="28"/>
      <c r="I89" s="29"/>
      <c r="J89" s="29"/>
      <c r="K89" s="29"/>
      <c r="L89" s="30"/>
    </row>
    <row r="90" spans="1:12" x14ac:dyDescent="0.3">
      <c r="A90" s="40"/>
      <c r="B90" s="40"/>
      <c r="C90" s="29"/>
      <c r="D90" s="36"/>
      <c r="E90" s="26"/>
      <c r="F90" s="26"/>
      <c r="G90" s="27"/>
      <c r="H90" s="28"/>
      <c r="I90" s="29"/>
      <c r="J90" s="29"/>
      <c r="K90" s="29"/>
      <c r="L90" s="30"/>
    </row>
    <row r="91" spans="1:12" x14ac:dyDescent="0.3">
      <c r="A91" s="40"/>
      <c r="B91" s="40"/>
      <c r="C91" s="29"/>
      <c r="D91" s="36"/>
      <c r="E91" s="26"/>
      <c r="F91" s="26"/>
      <c r="G91" s="27"/>
      <c r="H91" s="28"/>
      <c r="I91" s="29"/>
      <c r="J91" s="29"/>
      <c r="K91" s="29"/>
      <c r="L91" s="30"/>
    </row>
    <row r="92" spans="1:12" x14ac:dyDescent="0.3">
      <c r="A92" s="40"/>
      <c r="B92" s="40"/>
      <c r="C92" s="29"/>
      <c r="D92" s="36"/>
      <c r="E92" s="26"/>
      <c r="F92" s="26"/>
      <c r="G92" s="27"/>
      <c r="H92" s="28"/>
      <c r="I92" s="29"/>
      <c r="J92" s="29"/>
      <c r="K92" s="29"/>
      <c r="L92" s="30"/>
    </row>
    <row r="93" spans="1:12" x14ac:dyDescent="0.3">
      <c r="A93" s="40"/>
      <c r="B93" s="40"/>
      <c r="C93" s="29"/>
      <c r="D93" s="36"/>
      <c r="E93" s="26"/>
      <c r="F93" s="26"/>
      <c r="G93" s="27"/>
      <c r="H93" s="28"/>
      <c r="I93" s="29"/>
      <c r="J93" s="29"/>
      <c r="K93" s="29"/>
      <c r="L93" s="30"/>
    </row>
    <row r="94" spans="1:12" x14ac:dyDescent="0.3">
      <c r="A94" s="40"/>
      <c r="B94" s="40"/>
      <c r="C94" s="29"/>
      <c r="D94" s="36"/>
      <c r="E94" s="26"/>
      <c r="F94" s="26"/>
      <c r="G94" s="27"/>
      <c r="H94" s="28"/>
      <c r="I94" s="29"/>
      <c r="J94" s="29"/>
      <c r="K94" s="29"/>
      <c r="L94" s="30"/>
    </row>
    <row r="95" spans="1:12" x14ac:dyDescent="0.3">
      <c r="A95" s="40"/>
      <c r="B95" s="40"/>
      <c r="C95" s="29"/>
      <c r="D95" s="36"/>
      <c r="E95" s="26"/>
      <c r="F95" s="26"/>
      <c r="G95" s="27"/>
      <c r="H95" s="28"/>
      <c r="I95" s="29"/>
      <c r="J95" s="29"/>
      <c r="K95" s="29"/>
      <c r="L95" s="30"/>
    </row>
    <row r="96" spans="1:12" x14ac:dyDescent="0.3">
      <c r="A96" s="40"/>
      <c r="B96" s="40"/>
      <c r="C96" s="29"/>
      <c r="D96" s="36"/>
      <c r="E96" s="26"/>
      <c r="F96" s="26"/>
      <c r="G96" s="27"/>
      <c r="H96" s="28"/>
      <c r="I96" s="29"/>
      <c r="J96" s="29"/>
      <c r="K96" s="29"/>
      <c r="L96" s="30"/>
    </row>
    <row r="97" spans="1:12" x14ac:dyDescent="0.3">
      <c r="A97" s="40"/>
      <c r="B97" s="40"/>
      <c r="C97" s="29"/>
      <c r="D97" s="36"/>
      <c r="E97" s="26"/>
      <c r="F97" s="26"/>
      <c r="G97" s="27"/>
      <c r="H97" s="28"/>
      <c r="I97" s="29"/>
      <c r="J97" s="29"/>
      <c r="K97" s="29"/>
      <c r="L97" s="30"/>
    </row>
    <row r="98" spans="1:12" x14ac:dyDescent="0.3">
      <c r="C98" s="41"/>
      <c r="E98" s="41"/>
      <c r="F98" s="41"/>
      <c r="G98" s="43"/>
      <c r="H98" s="38"/>
      <c r="I98" s="41"/>
      <c r="J98" s="41"/>
      <c r="K98" s="30"/>
      <c r="L98" s="30"/>
    </row>
    <row r="99" spans="1:12" x14ac:dyDescent="0.3">
      <c r="C99" s="41"/>
      <c r="E99" s="41"/>
      <c r="F99" s="41"/>
      <c r="G99" s="43"/>
      <c r="H99" s="38"/>
      <c r="I99" s="41"/>
      <c r="J99" s="41"/>
      <c r="K99" s="30"/>
      <c r="L99" s="30"/>
    </row>
  </sheetData>
  <mergeCells count="28">
    <mergeCell ref="M6:M7"/>
    <mergeCell ref="N6:N7"/>
    <mergeCell ref="A38:D38"/>
    <mergeCell ref="A39:B39"/>
    <mergeCell ref="C39:D39"/>
    <mergeCell ref="K6:K7"/>
    <mergeCell ref="L6:L7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4:C4"/>
    <mergeCell ref="F4:G4"/>
    <mergeCell ref="K4:L4"/>
    <mergeCell ref="A1:N1"/>
    <mergeCell ref="A2:N2"/>
    <mergeCell ref="A3:C3"/>
    <mergeCell ref="F3:G3"/>
    <mergeCell ref="K3:L3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2015-04-26T22:59:40Z</dcterms:modified>
</cp:coreProperties>
</file>