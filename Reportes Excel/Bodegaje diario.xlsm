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Informe" sheetId="7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7" l="1"/>
  <c r="C30" i="7"/>
  <c r="E30" i="7" s="1"/>
  <c r="L4" i="7"/>
  <c r="B1" i="2"/>
  <c r="C2" i="7" l="1"/>
  <c r="A5" i="7" l="1"/>
  <c r="A6" i="7" s="1"/>
  <c r="C5" i="7" l="1"/>
  <c r="E5" i="7" s="1"/>
  <c r="C6" i="7"/>
  <c r="E6" i="7" s="1"/>
  <c r="A7" i="7"/>
  <c r="A8" i="7" s="1"/>
  <c r="C8" i="7"/>
  <c r="E8" i="7" s="1"/>
  <c r="A9" i="7"/>
  <c r="C7" i="7" l="1"/>
  <c r="E7" i="7" s="1"/>
  <c r="C9" i="7"/>
  <c r="E9" i="7" s="1"/>
  <c r="A10" i="7"/>
  <c r="A5" i="1"/>
  <c r="B2" i="2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A11" i="7" l="1"/>
  <c r="C10" i="7"/>
  <c r="E10" i="7" s="1"/>
  <c r="A12" i="7" l="1"/>
  <c r="C11" i="7"/>
  <c r="E11" i="7" s="1"/>
  <c r="C12" i="7" l="1"/>
  <c r="E12" i="7" s="1"/>
  <c r="A13" i="7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3" i="7" l="1"/>
  <c r="E13" i="7" s="1"/>
  <c r="A14" i="7"/>
  <c r="A15" i="7" l="1"/>
  <c r="C14" i="7"/>
  <c r="E14" i="7" s="1"/>
  <c r="A16" i="7" l="1"/>
  <c r="C15" i="7"/>
  <c r="E15" i="7" s="1"/>
  <c r="C16" i="7" l="1"/>
  <c r="E16" i="7" s="1"/>
  <c r="A17" i="7"/>
  <c r="C17" i="7" l="1"/>
  <c r="E17" i="7" s="1"/>
  <c r="A18" i="7"/>
  <c r="A19" i="7" l="1"/>
  <c r="C18" i="7"/>
  <c r="E18" i="7" s="1"/>
  <c r="A20" i="7" l="1"/>
  <c r="C19" i="7"/>
  <c r="E19" i="7" s="1"/>
  <c r="C20" i="7" l="1"/>
  <c r="E20" i="7" s="1"/>
  <c r="A21" i="7"/>
  <c r="C21" i="7" l="1"/>
  <c r="E21" i="7" s="1"/>
  <c r="A22" i="7"/>
  <c r="A23" i="7" l="1"/>
  <c r="C22" i="7"/>
  <c r="E22" i="7" s="1"/>
  <c r="A24" i="7" l="1"/>
  <c r="C23" i="7"/>
  <c r="E23" i="7" s="1"/>
  <c r="C24" i="7" l="1"/>
  <c r="E24" i="7" s="1"/>
  <c r="A25" i="7"/>
  <c r="C25" i="7" l="1"/>
  <c r="E25" i="7" s="1"/>
  <c r="A26" i="7"/>
  <c r="A27" i="7" l="1"/>
  <c r="C26" i="7"/>
  <c r="E26" i="7" s="1"/>
  <c r="A28" i="7" l="1"/>
  <c r="C27" i="7"/>
  <c r="E27" i="7" s="1"/>
  <c r="C28" i="7" l="1"/>
  <c r="E28" i="7" s="1"/>
  <c r="A29" i="7"/>
  <c r="C29" i="7" l="1"/>
  <c r="E29" i="7" s="1"/>
  <c r="A30" i="7"/>
  <c r="A31" i="7" l="1"/>
  <c r="A32" i="7" l="1"/>
  <c r="C31" i="7"/>
  <c r="E31" i="7" s="1"/>
  <c r="C32" i="7" l="1"/>
  <c r="E32" i="7" s="1"/>
  <c r="A33" i="7"/>
  <c r="C33" i="7" l="1"/>
  <c r="E33" i="7" s="1"/>
  <c r="A34" i="7"/>
  <c r="C34" i="7" l="1"/>
  <c r="E34" i="7" s="1"/>
  <c r="A35" i="7"/>
  <c r="E35" i="7" s="1"/>
  <c r="E36" i="7" l="1"/>
  <c r="G5" i="7"/>
  <c r="I5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DATE(fecha_despachado) fecha,_x000a_SUM(bodegaje) total_bodegaje_x000a_FROM_x000a_solicitudes  where date(fecha_despachado) &gt;= '2015-03-01' AND date(fecha_despachado) &lt;= '2015-03-31'_x000a_GROUP BY DATE(fecha_despachado)"/>
  </connection>
</connections>
</file>

<file path=xl/sharedStrings.xml><?xml version="1.0" encoding="utf-8"?>
<sst xmlns="http://schemas.openxmlformats.org/spreadsheetml/2006/main" count="53" uniqueCount="16">
  <si>
    <t>query</t>
  </si>
  <si>
    <t>ZONA</t>
  </si>
  <si>
    <t>DIVISION</t>
  </si>
  <si>
    <t>OLIVO</t>
  </si>
  <si>
    <t>MAQUILISHUAT</t>
  </si>
  <si>
    <t>ARAUCARIA</t>
  </si>
  <si>
    <t>FECHA</t>
  </si>
  <si>
    <t>DESDE</t>
  </si>
  <si>
    <t>HASTA</t>
  </si>
  <si>
    <t>TOTAL</t>
  </si>
  <si>
    <t>CORRELATIVO</t>
  </si>
  <si>
    <t>MONTO</t>
  </si>
  <si>
    <t>TOTAL PERCIBIDO</t>
  </si>
  <si>
    <t>PROMEDIO DIARIO</t>
  </si>
  <si>
    <t>fecha</t>
  </si>
  <si>
    <t>total_bodegaje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</si>
</sst>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entury Gothic"/>
      <family val="2"/>
    </font>
    <font>
      <sz val="12"/>
      <color rgb="FF00B0F0"/>
      <name val="Century Gothic"/>
      <family val="2"/>
    </font>
    <font>
      <i/>
      <sz val="12"/>
      <color theme="1"/>
      <name val="Century Gothic"/>
      <family val="2"/>
    </font>
    <font>
      <sz val="12"/>
      <color theme="0"/>
      <name val="Century Gothic"/>
      <family val="2"/>
    </font>
    <font>
      <b/>
      <sz val="12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 applyAlignment="1">
      <alignment vertical="top" wrapText="1"/>
    </xf>
    <xf numFmtId="14" fontId="4" fillId="0" borderId="0" xfId="0" applyNumberFormat="1" applyFont="1" applyFill="1"/>
    <xf numFmtId="14" fontId="4" fillId="0" borderId="0" xfId="0" applyNumberFormat="1" applyFont="1" applyFill="1" applyAlignment="1">
      <alignment wrapText="1"/>
    </xf>
    <xf numFmtId="14" fontId="5" fillId="0" borderId="0" xfId="0" applyNumberFormat="1" applyFont="1" applyFill="1" applyAlignment="1">
      <alignment wrapText="1"/>
    </xf>
    <xf numFmtId="0" fontId="4" fillId="0" borderId="0" xfId="0" applyFont="1" applyFill="1"/>
    <xf numFmtId="44" fontId="4" fillId="0" borderId="0" xfId="1" applyFont="1" applyFill="1" applyAlignment="1">
      <alignment horizontal="left"/>
    </xf>
    <xf numFmtId="44" fontId="6" fillId="0" borderId="1" xfId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44" fontId="4" fillId="0" borderId="1" xfId="1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 wrapText="1"/>
    </xf>
    <xf numFmtId="44" fontId="4" fillId="0" borderId="1" xfId="1" applyFont="1" applyFill="1" applyBorder="1" applyAlignment="1">
      <alignment vertical="center" wrapText="1"/>
    </xf>
    <xf numFmtId="14" fontId="4" fillId="0" borderId="2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14" fontId="4" fillId="0" borderId="5" xfId="0" applyNumberFormat="1" applyFont="1" applyFill="1" applyBorder="1" applyAlignment="1">
      <alignment horizontal="center" vertical="center" wrapText="1"/>
    </xf>
    <xf numFmtId="44" fontId="4" fillId="0" borderId="4" xfId="1" applyFont="1" applyFill="1" applyBorder="1" applyAlignment="1">
      <alignment horizontal="center" vertical="center" wrapText="1"/>
    </xf>
    <xf numFmtId="44" fontId="4" fillId="0" borderId="5" xfId="1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center" vertical="center" wrapText="1"/>
    </xf>
    <xf numFmtId="44" fontId="8" fillId="0" borderId="1" xfId="1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center" vertical="center" wrapText="1"/>
    </xf>
    <xf numFmtId="44" fontId="4" fillId="0" borderId="4" xfId="1" applyFont="1" applyFill="1" applyBorder="1" applyAlignment="1">
      <alignment horizontal="left" vertical="center" wrapText="1"/>
    </xf>
    <xf numFmtId="44" fontId="4" fillId="0" borderId="5" xfId="1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14" fontId="4" fillId="0" borderId="0" xfId="0" applyNumberFormat="1" applyFont="1" applyFill="1" applyAlignment="1">
      <alignment horizontal="center" wrapText="1"/>
    </xf>
    <xf numFmtId="0" fontId="6" fillId="0" borderId="1" xfId="0" applyFont="1" applyFill="1" applyBorder="1" applyAlignment="1">
      <alignment horizontal="center" vertical="center"/>
    </xf>
    <xf numFmtId="14" fontId="0" fillId="0" borderId="0" xfId="0" applyNumberFormat="1"/>
    <xf numFmtId="0" fontId="7" fillId="0" borderId="0" xfId="0" applyFont="1" applyFill="1"/>
    <xf numFmtId="14" fontId="7" fillId="0" borderId="0" xfId="0" applyNumberFormat="1" applyFont="1" applyFill="1"/>
    <xf numFmtId="14" fontId="4" fillId="2" borderId="0" xfId="0" applyNumberFormat="1" applyFont="1" applyFill="1"/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504825</xdr:colOff>
      <xdr:row>0</xdr:row>
      <xdr:rowOff>0</xdr:rowOff>
    </xdr:from>
    <xdr:to>
      <xdr:col>13</xdr:col>
      <xdr:colOff>158689</xdr:colOff>
      <xdr:row>1</xdr:row>
      <xdr:rowOff>147059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953625" y="0"/>
          <a:ext cx="415864" cy="33755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fecha"/>
      <queryTableField id="2" name="total_bodegaj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C2" sqref="C2"/>
    </sheetView>
  </sheetViews>
  <sheetFormatPr defaultColWidth="9.140625" defaultRowHeight="15" x14ac:dyDescent="0.25"/>
  <cols>
    <col min="2" max="2" width="10.7109375" customWidth="1"/>
    <col min="3" max="3" width="14.5703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10</v>
      </c>
      <c r="B1" s="1" t="s">
        <v>14</v>
      </c>
      <c r="C1" s="1" t="s">
        <v>15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 s="35">
        <v>42089</v>
      </c>
      <c r="C2">
        <v>0</v>
      </c>
      <c r="K2" s="4"/>
      <c r="L2" s="4"/>
    </row>
    <row r="3" spans="1:15" x14ac:dyDescent="0.25">
      <c r="A3">
        <f>IF(B3&gt;0,A2+1,"")</f>
        <v>2</v>
      </c>
      <c r="B3" s="35">
        <v>42094</v>
      </c>
      <c r="C3">
        <v>2</v>
      </c>
      <c r="K3" s="4"/>
      <c r="L3" s="4"/>
    </row>
    <row r="4" spans="1:15" x14ac:dyDescent="0.25">
      <c r="A4" t="str">
        <f t="shared" ref="A4:A67" si="0">IF(B4&gt;0,A3+1,"")</f>
        <v/>
      </c>
      <c r="L4" s="4"/>
    </row>
    <row r="5" spans="1:15" x14ac:dyDescent="0.25">
      <c r="A5" t="str">
        <f t="shared" si="0"/>
        <v/>
      </c>
      <c r="L5" s="4"/>
    </row>
    <row r="6" spans="1:15" x14ac:dyDescent="0.25">
      <c r="A6" t="str">
        <f t="shared" si="0"/>
        <v/>
      </c>
      <c r="L6" s="4"/>
    </row>
    <row r="7" spans="1:15" x14ac:dyDescent="0.25">
      <c r="A7" t="str">
        <f t="shared" si="0"/>
        <v/>
      </c>
      <c r="L7" s="4"/>
    </row>
    <row r="8" spans="1:15" x14ac:dyDescent="0.25">
      <c r="A8" t="str">
        <f t="shared" si="0"/>
        <v/>
      </c>
      <c r="L8" s="4"/>
    </row>
    <row r="9" spans="1:15" x14ac:dyDescent="0.25">
      <c r="A9" t="str">
        <f t="shared" si="0"/>
        <v/>
      </c>
      <c r="L9" s="4"/>
    </row>
    <row r="10" spans="1:15" x14ac:dyDescent="0.25">
      <c r="A10" t="str">
        <f t="shared" si="0"/>
        <v/>
      </c>
      <c r="L10" s="4"/>
    </row>
    <row r="11" spans="1:15" x14ac:dyDescent="0.25">
      <c r="A11" t="str">
        <f t="shared" si="0"/>
        <v/>
      </c>
      <c r="L11" s="4"/>
    </row>
    <row r="12" spans="1:15" x14ac:dyDescent="0.25">
      <c r="A12" t="str">
        <f t="shared" si="0"/>
        <v/>
      </c>
      <c r="L12" s="4"/>
    </row>
    <row r="13" spans="1:15" x14ac:dyDescent="0.25">
      <c r="A13" t="str">
        <f t="shared" si="0"/>
        <v/>
      </c>
      <c r="L13" s="4"/>
    </row>
    <row r="14" spans="1:15" x14ac:dyDescent="0.25">
      <c r="A14" t="str">
        <f t="shared" si="0"/>
        <v/>
      </c>
      <c r="L14" s="4"/>
    </row>
    <row r="15" spans="1:15" x14ac:dyDescent="0.25">
      <c r="A15" t="str">
        <f t="shared" si="0"/>
        <v/>
      </c>
      <c r="L15" s="4"/>
    </row>
    <row r="16" spans="1:15" x14ac:dyDescent="0.25">
      <c r="A16" t="str">
        <f t="shared" si="0"/>
        <v/>
      </c>
      <c r="L16" s="4"/>
    </row>
    <row r="17" spans="1:12" x14ac:dyDescent="0.25">
      <c r="A17" t="str">
        <f t="shared" si="0"/>
        <v/>
      </c>
      <c r="L17" s="4"/>
    </row>
    <row r="18" spans="1:12" x14ac:dyDescent="0.25">
      <c r="A18" t="str">
        <f t="shared" si="0"/>
        <v/>
      </c>
      <c r="L18" s="4"/>
    </row>
    <row r="19" spans="1:12" x14ac:dyDescent="0.25">
      <c r="A19" t="str">
        <f t="shared" si="0"/>
        <v/>
      </c>
      <c r="L19" s="4"/>
    </row>
    <row r="20" spans="1:12" x14ac:dyDescent="0.25">
      <c r="A20" t="str">
        <f t="shared" si="0"/>
        <v/>
      </c>
      <c r="L20" s="4"/>
    </row>
    <row r="21" spans="1:12" x14ac:dyDescent="0.25">
      <c r="A21" t="str">
        <f t="shared" si="0"/>
        <v/>
      </c>
      <c r="L21" s="4"/>
    </row>
    <row r="22" spans="1:12" x14ac:dyDescent="0.25">
      <c r="A22" t="str">
        <f t="shared" si="0"/>
        <v/>
      </c>
      <c r="L22" s="4"/>
    </row>
    <row r="23" spans="1:12" x14ac:dyDescent="0.25">
      <c r="A23" t="str">
        <f t="shared" si="0"/>
        <v/>
      </c>
      <c r="L23" s="4"/>
    </row>
    <row r="24" spans="1:12" x14ac:dyDescent="0.25">
      <c r="A24" t="str">
        <f t="shared" si="0"/>
        <v/>
      </c>
      <c r="L24" s="4"/>
    </row>
    <row r="25" spans="1:12" x14ac:dyDescent="0.25">
      <c r="A25" t="str">
        <f t="shared" si="0"/>
        <v/>
      </c>
      <c r="L25" s="4"/>
    </row>
    <row r="26" spans="1:12" x14ac:dyDescent="0.25">
      <c r="A26" t="str">
        <f t="shared" si="0"/>
        <v/>
      </c>
      <c r="L26" s="4"/>
    </row>
    <row r="27" spans="1:12" x14ac:dyDescent="0.25">
      <c r="A27" t="str">
        <f t="shared" si="0"/>
        <v/>
      </c>
      <c r="L27" s="4"/>
    </row>
    <row r="28" spans="1:12" x14ac:dyDescent="0.25">
      <c r="A28" t="str">
        <f t="shared" si="0"/>
        <v/>
      </c>
      <c r="L28" s="4"/>
    </row>
    <row r="29" spans="1:12" x14ac:dyDescent="0.25">
      <c r="A29" t="str">
        <f t="shared" si="0"/>
        <v/>
      </c>
      <c r="L29" s="4"/>
    </row>
    <row r="30" spans="1:12" x14ac:dyDescent="0.25">
      <c r="A30" t="str">
        <f t="shared" si="0"/>
        <v/>
      </c>
      <c r="L30" s="4"/>
    </row>
    <row r="31" spans="1:12" x14ac:dyDescent="0.25">
      <c r="A31" t="str">
        <f t="shared" si="0"/>
        <v/>
      </c>
      <c r="L31" s="4"/>
    </row>
    <row r="32" spans="1:12" x14ac:dyDescent="0.25">
      <c r="A32" t="str">
        <f t="shared" si="0"/>
        <v/>
      </c>
      <c r="L32" s="4"/>
    </row>
    <row r="33" spans="1:12" x14ac:dyDescent="0.25">
      <c r="A33" t="str">
        <f t="shared" si="0"/>
        <v/>
      </c>
      <c r="L33" s="4"/>
    </row>
    <row r="34" spans="1:12" x14ac:dyDescent="0.25">
      <c r="A34" t="str">
        <f t="shared" si="0"/>
        <v/>
      </c>
      <c r="L34" s="4"/>
    </row>
    <row r="35" spans="1:12" x14ac:dyDescent="0.25">
      <c r="A35" t="str">
        <f t="shared" si="0"/>
        <v/>
      </c>
      <c r="L35" s="4"/>
    </row>
    <row r="36" spans="1:12" x14ac:dyDescent="0.25">
      <c r="A36" t="str">
        <f t="shared" si="0"/>
        <v/>
      </c>
      <c r="L36" s="4"/>
    </row>
    <row r="37" spans="1:12" x14ac:dyDescent="0.25">
      <c r="A37" t="str">
        <f t="shared" si="0"/>
        <v/>
      </c>
      <c r="L37" s="4"/>
    </row>
    <row r="38" spans="1:12" x14ac:dyDescent="0.25">
      <c r="A38" t="str">
        <f t="shared" si="0"/>
        <v/>
      </c>
      <c r="L38" s="4"/>
    </row>
    <row r="39" spans="1:12" x14ac:dyDescent="0.25">
      <c r="A39" t="str">
        <f t="shared" si="0"/>
        <v/>
      </c>
      <c r="L39" s="4"/>
    </row>
    <row r="40" spans="1:12" x14ac:dyDescent="0.25">
      <c r="A40" t="str">
        <f t="shared" si="0"/>
        <v/>
      </c>
      <c r="L40" s="4"/>
    </row>
    <row r="41" spans="1:12" x14ac:dyDescent="0.25">
      <c r="A41" t="str">
        <f t="shared" si="0"/>
        <v/>
      </c>
      <c r="L41" s="4"/>
    </row>
    <row r="42" spans="1:12" x14ac:dyDescent="0.25">
      <c r="A42" t="str">
        <f t="shared" si="0"/>
        <v/>
      </c>
      <c r="L42" s="4"/>
    </row>
    <row r="43" spans="1:12" x14ac:dyDescent="0.25">
      <c r="A43" t="str">
        <f t="shared" si="0"/>
        <v/>
      </c>
      <c r="L43" s="4"/>
    </row>
    <row r="44" spans="1:12" x14ac:dyDescent="0.25">
      <c r="A44" t="str">
        <f t="shared" si="0"/>
        <v/>
      </c>
      <c r="L44" s="4"/>
    </row>
    <row r="45" spans="1:12" x14ac:dyDescent="0.25">
      <c r="A45" t="str">
        <f t="shared" si="0"/>
        <v/>
      </c>
      <c r="L45" s="4"/>
    </row>
    <row r="46" spans="1:12" x14ac:dyDescent="0.25">
      <c r="A46" t="str">
        <f t="shared" si="0"/>
        <v/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5" t="str">
        <f>CONCATENATE("SELECT 
DATE(fecha_despachado) fecha,
SUM(bodegaje) total_bodegaje
FROM
solicitudes  where date(fecha_despachado) &gt;= '",TEXT(Informe!L2,"yyyy-mm-dd"),"' AND date(fecha_despachado) &lt;= '",TEXT(Informe!L4,"yyyy-mm-dd"),"'
GROUP BY DATE(fecha_despachado)")</f>
        <v>SELECT 
DATE(fecha_despachado) fecha,
SUM(bodegaje) total_bodegaje
FROM
solicitudes  where date(fecha_despachado) &gt;= '2015-03-01' AND date(fecha_despachado) &lt;= '2015-03-31'
GROUP BY DATE(fecha_despachado)</v>
      </c>
    </row>
    <row r="2" spans="1:2" x14ac:dyDescent="0.25">
      <c r="B2" s="3">
        <f>LEN(B1)</f>
        <v>204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101"/>
  <sheetViews>
    <sheetView showGridLines="0" tabSelected="1" topLeftCell="B1" workbookViewId="0">
      <selection activeCell="L2" sqref="L2"/>
    </sheetView>
  </sheetViews>
  <sheetFormatPr defaultColWidth="11.42578125" defaultRowHeight="17.25" x14ac:dyDescent="0.3"/>
  <cols>
    <col min="1" max="1" width="3.85546875" style="9" hidden="1" customWidth="1"/>
    <col min="2" max="2" width="2.140625" style="9" customWidth="1"/>
    <col min="3" max="4" width="12.7109375" style="9" customWidth="1"/>
    <col min="5" max="5" width="17.28515625" style="10" customWidth="1"/>
    <col min="6" max="6" width="4.7109375" style="9" customWidth="1"/>
    <col min="7" max="7" width="23.7109375" style="9" customWidth="1"/>
    <col min="8" max="8" width="4.7109375" style="9" customWidth="1"/>
    <col min="9" max="9" width="23.7109375" style="9" customWidth="1"/>
    <col min="10" max="10" width="11.42578125" style="9"/>
    <col min="11" max="11" width="11" style="9" customWidth="1"/>
    <col min="12" max="12" width="13.7109375" style="9" bestFit="1" customWidth="1"/>
    <col min="13" max="16384" width="11.42578125" style="9"/>
  </cols>
  <sheetData>
    <row r="1" spans="1:12" ht="15" customHeight="1" x14ac:dyDescent="0.3">
      <c r="A1" s="6"/>
      <c r="B1" s="6"/>
      <c r="C1" s="7"/>
      <c r="D1" s="7"/>
      <c r="E1" s="7"/>
      <c r="F1" s="7"/>
      <c r="G1" s="7"/>
      <c r="H1" s="8"/>
      <c r="I1" s="8"/>
    </row>
    <row r="2" spans="1:12" ht="15" customHeight="1" x14ac:dyDescent="0.3">
      <c r="A2" s="6"/>
      <c r="B2" s="6"/>
      <c r="C2" s="33" t="str">
        <f>"BODEGAJE PERCIBIDO "&amp;UPPER(TEXT(L2,"MMMM-YYYY"))</f>
        <v>BODEGAJE PERCIBIDO MARZO-2015</v>
      </c>
      <c r="D2" s="33"/>
      <c r="E2" s="33"/>
      <c r="F2" s="33"/>
      <c r="G2" s="33"/>
      <c r="H2" s="33"/>
      <c r="I2" s="33"/>
      <c r="K2" s="9" t="s">
        <v>7</v>
      </c>
      <c r="L2" s="38">
        <v>42064</v>
      </c>
    </row>
    <row r="3" spans="1:12" ht="6.75" customHeight="1" x14ac:dyDescent="0.3"/>
    <row r="4" spans="1:12" ht="16.5" customHeight="1" x14ac:dyDescent="0.3">
      <c r="C4" s="34" t="s">
        <v>6</v>
      </c>
      <c r="D4" s="34"/>
      <c r="E4" s="11" t="s">
        <v>11</v>
      </c>
      <c r="F4" s="12"/>
      <c r="G4" s="13" t="s">
        <v>12</v>
      </c>
      <c r="H4" s="14"/>
      <c r="I4" s="13" t="s">
        <v>13</v>
      </c>
      <c r="K4" s="36" t="s">
        <v>8</v>
      </c>
      <c r="L4" s="37">
        <f>EDATE(L2,1)-1</f>
        <v>42094</v>
      </c>
    </row>
    <row r="5" spans="1:12" x14ac:dyDescent="0.3">
      <c r="A5" s="6">
        <f>+L2</f>
        <v>42064</v>
      </c>
      <c r="B5" s="6"/>
      <c r="C5" s="31" t="str">
        <f t="shared" ref="C5:C34" si="0">TEXT(A5,"yyyy-mm-dd")</f>
        <v>2015-03-01</v>
      </c>
      <c r="D5" s="31"/>
      <c r="E5" s="15">
        <f>SUMIFS(Info!C:C,Info!B:B,Informe!C5)</f>
        <v>0</v>
      </c>
      <c r="F5" s="16"/>
      <c r="G5" s="17">
        <f>SUM(E5:E35)</f>
        <v>2</v>
      </c>
      <c r="H5" s="18"/>
      <c r="I5" s="17">
        <f>AVERAGE(E5:E35)</f>
        <v>6.4516129032258063E-2</v>
      </c>
      <c r="J5" s="19"/>
    </row>
    <row r="6" spans="1:12" x14ac:dyDescent="0.3">
      <c r="A6" s="6">
        <f>A5+1</f>
        <v>42065</v>
      </c>
      <c r="B6" s="6"/>
      <c r="C6" s="31" t="str">
        <f t="shared" si="0"/>
        <v>2015-03-02</v>
      </c>
      <c r="D6" s="31"/>
      <c r="E6" s="15">
        <f>SUMIFS(Info!C:C,Info!B:B,Informe!C6)</f>
        <v>0</v>
      </c>
      <c r="F6" s="20"/>
      <c r="G6" s="21"/>
      <c r="H6" s="22"/>
      <c r="I6" s="23"/>
      <c r="J6" s="24"/>
    </row>
    <row r="7" spans="1:12" x14ac:dyDescent="0.3">
      <c r="A7" s="6">
        <f>A6+1</f>
        <v>42066</v>
      </c>
      <c r="B7" s="6"/>
      <c r="C7" s="31" t="str">
        <f t="shared" si="0"/>
        <v>2015-03-03</v>
      </c>
      <c r="D7" s="31"/>
      <c r="E7" s="15">
        <f>SUMIFS(Info!C:C,Info!B:B,Informe!C7)</f>
        <v>0</v>
      </c>
      <c r="F7" s="20"/>
      <c r="G7" s="25"/>
      <c r="H7" s="22"/>
      <c r="I7" s="24"/>
      <c r="J7" s="26"/>
    </row>
    <row r="8" spans="1:12" x14ac:dyDescent="0.3">
      <c r="A8" s="6">
        <f t="shared" ref="A8:A35" si="1">A7+1</f>
        <v>42067</v>
      </c>
      <c r="B8" s="6"/>
      <c r="C8" s="31" t="str">
        <f t="shared" si="0"/>
        <v>2015-03-04</v>
      </c>
      <c r="D8" s="31"/>
      <c r="E8" s="15">
        <f>SUMIFS(Info!C:C,Info!B:B,Informe!C8)</f>
        <v>0</v>
      </c>
      <c r="F8" s="20"/>
      <c r="G8" s="25"/>
      <c r="H8" s="22"/>
      <c r="I8" s="24"/>
      <c r="J8" s="24"/>
    </row>
    <row r="9" spans="1:12" x14ac:dyDescent="0.3">
      <c r="A9" s="6">
        <f t="shared" si="1"/>
        <v>42068</v>
      </c>
      <c r="B9" s="6"/>
      <c r="C9" s="31" t="str">
        <f t="shared" si="0"/>
        <v>2015-03-05</v>
      </c>
      <c r="D9" s="31"/>
      <c r="E9" s="15">
        <f>SUMIFS(Info!C:C,Info!B:B,Informe!C9)</f>
        <v>0</v>
      </c>
      <c r="F9" s="20"/>
      <c r="G9" s="25"/>
      <c r="H9" s="22"/>
      <c r="I9" s="24"/>
      <c r="J9" s="26"/>
    </row>
    <row r="10" spans="1:12" x14ac:dyDescent="0.3">
      <c r="A10" s="6">
        <f t="shared" si="1"/>
        <v>42069</v>
      </c>
      <c r="B10" s="6"/>
      <c r="C10" s="31" t="str">
        <f t="shared" si="0"/>
        <v>2015-03-06</v>
      </c>
      <c r="D10" s="31"/>
      <c r="E10" s="15">
        <f>SUMIFS(Info!C:C,Info!B:B,Informe!C10)</f>
        <v>0</v>
      </c>
      <c r="F10" s="20"/>
      <c r="G10" s="25"/>
      <c r="H10" s="22"/>
      <c r="I10" s="24"/>
      <c r="J10" s="24"/>
    </row>
    <row r="11" spans="1:12" x14ac:dyDescent="0.3">
      <c r="A11" s="6">
        <f t="shared" si="1"/>
        <v>42070</v>
      </c>
      <c r="B11" s="6"/>
      <c r="C11" s="31" t="str">
        <f t="shared" si="0"/>
        <v>2015-03-07</v>
      </c>
      <c r="D11" s="31"/>
      <c r="E11" s="15">
        <f>SUMIFS(Info!C:C,Info!B:B,Informe!C11)</f>
        <v>0</v>
      </c>
      <c r="F11" s="20"/>
      <c r="G11" s="25"/>
      <c r="H11" s="22"/>
      <c r="I11" s="24"/>
      <c r="J11" s="26"/>
    </row>
    <row r="12" spans="1:12" x14ac:dyDescent="0.3">
      <c r="A12" s="6">
        <f t="shared" si="1"/>
        <v>42071</v>
      </c>
      <c r="B12" s="6"/>
      <c r="C12" s="31" t="str">
        <f t="shared" si="0"/>
        <v>2015-03-08</v>
      </c>
      <c r="D12" s="31"/>
      <c r="E12" s="15">
        <f>SUMIFS(Info!C:C,Info!B:B,Informe!C12)</f>
        <v>0</v>
      </c>
      <c r="F12" s="20"/>
      <c r="G12" s="25"/>
      <c r="H12" s="22"/>
      <c r="I12" s="24"/>
      <c r="J12" s="24"/>
    </row>
    <row r="13" spans="1:12" x14ac:dyDescent="0.3">
      <c r="A13" s="6">
        <f t="shared" si="1"/>
        <v>42072</v>
      </c>
      <c r="B13" s="6"/>
      <c r="C13" s="31" t="str">
        <f t="shared" si="0"/>
        <v>2015-03-09</v>
      </c>
      <c r="D13" s="31"/>
      <c r="E13" s="15">
        <f>SUMIFS(Info!C:C,Info!B:B,Informe!C13)</f>
        <v>0</v>
      </c>
      <c r="F13" s="20"/>
      <c r="G13" s="25"/>
      <c r="H13" s="22"/>
      <c r="I13" s="24"/>
      <c r="J13" s="26"/>
    </row>
    <row r="14" spans="1:12" x14ac:dyDescent="0.3">
      <c r="A14" s="6">
        <f t="shared" si="1"/>
        <v>42073</v>
      </c>
      <c r="B14" s="6"/>
      <c r="C14" s="31" t="str">
        <f t="shared" si="0"/>
        <v>2015-03-10</v>
      </c>
      <c r="D14" s="31"/>
      <c r="E14" s="15">
        <f>SUMIFS(Info!C:C,Info!B:B,Informe!C14)</f>
        <v>0</v>
      </c>
      <c r="F14" s="20"/>
      <c r="G14" s="25"/>
      <c r="H14" s="22"/>
      <c r="I14" s="24"/>
      <c r="J14" s="24"/>
    </row>
    <row r="15" spans="1:12" x14ac:dyDescent="0.3">
      <c r="A15" s="6">
        <f t="shared" si="1"/>
        <v>42074</v>
      </c>
      <c r="B15" s="6"/>
      <c r="C15" s="31" t="str">
        <f t="shared" si="0"/>
        <v>2015-03-11</v>
      </c>
      <c r="D15" s="31"/>
      <c r="E15" s="15">
        <f>SUMIFS(Info!C:C,Info!B:B,Informe!C15)</f>
        <v>0</v>
      </c>
      <c r="F15" s="20"/>
      <c r="G15" s="25"/>
      <c r="H15" s="22"/>
      <c r="I15" s="24"/>
      <c r="J15" s="26"/>
    </row>
    <row r="16" spans="1:12" x14ac:dyDescent="0.3">
      <c r="A16" s="6">
        <f t="shared" si="1"/>
        <v>42075</v>
      </c>
      <c r="B16" s="6"/>
      <c r="C16" s="31" t="str">
        <f t="shared" si="0"/>
        <v>2015-03-12</v>
      </c>
      <c r="D16" s="31"/>
      <c r="E16" s="15">
        <f>SUMIFS(Info!C:C,Info!B:B,Informe!C16)</f>
        <v>0</v>
      </c>
      <c r="F16" s="20"/>
      <c r="G16" s="25"/>
      <c r="H16" s="22"/>
      <c r="I16" s="24"/>
      <c r="J16" s="24"/>
    </row>
    <row r="17" spans="1:10" x14ac:dyDescent="0.3">
      <c r="A17" s="6">
        <f t="shared" si="1"/>
        <v>42076</v>
      </c>
      <c r="B17" s="6"/>
      <c r="C17" s="31" t="str">
        <f t="shared" si="0"/>
        <v>2015-03-13</v>
      </c>
      <c r="D17" s="31"/>
      <c r="E17" s="15">
        <f>SUMIFS(Info!C:C,Info!B:B,Informe!C17)</f>
        <v>0</v>
      </c>
      <c r="F17" s="20"/>
      <c r="G17" s="25"/>
      <c r="H17" s="22"/>
      <c r="I17" s="24"/>
      <c r="J17" s="26"/>
    </row>
    <row r="18" spans="1:10" x14ac:dyDescent="0.3">
      <c r="A18" s="6">
        <f t="shared" si="1"/>
        <v>42077</v>
      </c>
      <c r="B18" s="6"/>
      <c r="C18" s="31" t="str">
        <f t="shared" si="0"/>
        <v>2015-03-14</v>
      </c>
      <c r="D18" s="31"/>
      <c r="E18" s="15">
        <f>SUMIFS(Info!C:C,Info!B:B,Informe!C18)</f>
        <v>0</v>
      </c>
      <c r="F18" s="20"/>
      <c r="G18" s="25"/>
      <c r="H18" s="22"/>
      <c r="I18" s="24"/>
      <c r="J18" s="24"/>
    </row>
    <row r="19" spans="1:10" x14ac:dyDescent="0.3">
      <c r="A19" s="6">
        <f t="shared" si="1"/>
        <v>42078</v>
      </c>
      <c r="B19" s="6"/>
      <c r="C19" s="31" t="str">
        <f t="shared" si="0"/>
        <v>2015-03-15</v>
      </c>
      <c r="D19" s="31"/>
      <c r="E19" s="15">
        <f>SUMIFS(Info!C:C,Info!B:B,Informe!C19)</f>
        <v>0</v>
      </c>
      <c r="F19" s="20"/>
      <c r="G19" s="25"/>
      <c r="H19" s="22"/>
      <c r="I19" s="24"/>
      <c r="J19" s="26"/>
    </row>
    <row r="20" spans="1:10" x14ac:dyDescent="0.3">
      <c r="A20" s="6">
        <f t="shared" si="1"/>
        <v>42079</v>
      </c>
      <c r="B20" s="6"/>
      <c r="C20" s="31" t="str">
        <f t="shared" si="0"/>
        <v>2015-03-16</v>
      </c>
      <c r="D20" s="31"/>
      <c r="E20" s="15">
        <f>SUMIFS(Info!C:C,Info!B:B,Informe!C20)</f>
        <v>0</v>
      </c>
      <c r="F20" s="20"/>
      <c r="G20" s="25"/>
      <c r="H20" s="22"/>
      <c r="I20" s="24"/>
      <c r="J20" s="24"/>
    </row>
    <row r="21" spans="1:10" x14ac:dyDescent="0.3">
      <c r="A21" s="6">
        <f>A20+1</f>
        <v>42080</v>
      </c>
      <c r="B21" s="6"/>
      <c r="C21" s="31" t="str">
        <f t="shared" si="0"/>
        <v>2015-03-17</v>
      </c>
      <c r="D21" s="31"/>
      <c r="E21" s="15">
        <f>SUMIFS(Info!C:C,Info!B:B,Informe!C21)</f>
        <v>0</v>
      </c>
      <c r="F21" s="20"/>
      <c r="G21" s="25"/>
      <c r="H21" s="22"/>
      <c r="I21" s="24"/>
      <c r="J21" s="26"/>
    </row>
    <row r="22" spans="1:10" x14ac:dyDescent="0.3">
      <c r="A22" s="6">
        <f t="shared" si="1"/>
        <v>42081</v>
      </c>
      <c r="B22" s="6"/>
      <c r="C22" s="31" t="str">
        <f t="shared" si="0"/>
        <v>2015-03-18</v>
      </c>
      <c r="D22" s="31"/>
      <c r="E22" s="15">
        <f>SUMIFS(Info!C:C,Info!B:B,Informe!C22)</f>
        <v>0</v>
      </c>
      <c r="F22" s="20"/>
      <c r="G22" s="25"/>
      <c r="H22" s="22"/>
      <c r="I22" s="24"/>
      <c r="J22" s="24"/>
    </row>
    <row r="23" spans="1:10" x14ac:dyDescent="0.3">
      <c r="A23" s="6">
        <f t="shared" si="1"/>
        <v>42082</v>
      </c>
      <c r="B23" s="6"/>
      <c r="C23" s="31" t="str">
        <f t="shared" si="0"/>
        <v>2015-03-19</v>
      </c>
      <c r="D23" s="31"/>
      <c r="E23" s="15">
        <f>SUMIFS(Info!C:C,Info!B:B,Informe!C23)</f>
        <v>0</v>
      </c>
      <c r="F23" s="20"/>
      <c r="G23" s="25"/>
      <c r="H23" s="22"/>
      <c r="I23" s="24"/>
      <c r="J23" s="26"/>
    </row>
    <row r="24" spans="1:10" x14ac:dyDescent="0.3">
      <c r="A24" s="6">
        <f t="shared" si="1"/>
        <v>42083</v>
      </c>
      <c r="B24" s="6"/>
      <c r="C24" s="31" t="str">
        <f t="shared" si="0"/>
        <v>2015-03-20</v>
      </c>
      <c r="D24" s="31"/>
      <c r="E24" s="15">
        <f>SUMIFS(Info!C:C,Info!B:B,Informe!C24)</f>
        <v>0</v>
      </c>
      <c r="F24" s="20"/>
      <c r="G24" s="25"/>
      <c r="H24" s="22"/>
      <c r="I24" s="24"/>
      <c r="J24" s="24"/>
    </row>
    <row r="25" spans="1:10" x14ac:dyDescent="0.3">
      <c r="A25" s="6">
        <f t="shared" si="1"/>
        <v>42084</v>
      </c>
      <c r="B25" s="6"/>
      <c r="C25" s="31" t="str">
        <f t="shared" si="0"/>
        <v>2015-03-21</v>
      </c>
      <c r="D25" s="31"/>
      <c r="E25" s="15">
        <f>SUMIFS(Info!C:C,Info!B:B,Informe!C25)</f>
        <v>0</v>
      </c>
      <c r="F25" s="20"/>
      <c r="G25" s="25"/>
      <c r="H25" s="22"/>
      <c r="I25" s="24"/>
      <c r="J25" s="26"/>
    </row>
    <row r="26" spans="1:10" x14ac:dyDescent="0.3">
      <c r="A26" s="6">
        <f t="shared" si="1"/>
        <v>42085</v>
      </c>
      <c r="B26" s="6"/>
      <c r="C26" s="31" t="str">
        <f t="shared" si="0"/>
        <v>2015-03-22</v>
      </c>
      <c r="D26" s="31"/>
      <c r="E26" s="15">
        <f>SUMIFS(Info!C:C,Info!B:B,Informe!C26)</f>
        <v>0</v>
      </c>
      <c r="F26" s="20"/>
      <c r="G26" s="25"/>
      <c r="H26" s="22"/>
      <c r="I26" s="24"/>
      <c r="J26" s="24"/>
    </row>
    <row r="27" spans="1:10" x14ac:dyDescent="0.3">
      <c r="A27" s="6">
        <f t="shared" si="1"/>
        <v>42086</v>
      </c>
      <c r="B27" s="6"/>
      <c r="C27" s="31" t="str">
        <f t="shared" si="0"/>
        <v>2015-03-23</v>
      </c>
      <c r="D27" s="31"/>
      <c r="E27" s="15">
        <f>SUMIFS(Info!C:C,Info!B:B,Informe!C27)</f>
        <v>0</v>
      </c>
      <c r="F27" s="20"/>
      <c r="G27" s="25"/>
      <c r="H27" s="22"/>
      <c r="I27" s="24"/>
      <c r="J27" s="26"/>
    </row>
    <row r="28" spans="1:10" x14ac:dyDescent="0.3">
      <c r="A28" s="6">
        <f t="shared" si="1"/>
        <v>42087</v>
      </c>
      <c r="B28" s="6"/>
      <c r="C28" s="31" t="str">
        <f t="shared" si="0"/>
        <v>2015-03-24</v>
      </c>
      <c r="D28" s="31"/>
      <c r="E28" s="15">
        <f>SUMIFS(Info!C:C,Info!B:B,Informe!C28)</f>
        <v>0</v>
      </c>
      <c r="F28" s="20"/>
      <c r="G28" s="25"/>
      <c r="H28" s="22"/>
      <c r="I28" s="24"/>
      <c r="J28" s="24"/>
    </row>
    <row r="29" spans="1:10" x14ac:dyDescent="0.3">
      <c r="A29" s="6">
        <f t="shared" si="1"/>
        <v>42088</v>
      </c>
      <c r="B29" s="6"/>
      <c r="C29" s="31" t="str">
        <f t="shared" si="0"/>
        <v>2015-03-25</v>
      </c>
      <c r="D29" s="31"/>
      <c r="E29" s="15">
        <f>SUMIFS(Info!C:C,Info!B:B,Informe!C29)</f>
        <v>0</v>
      </c>
      <c r="F29" s="20"/>
      <c r="G29" s="25"/>
      <c r="H29" s="22"/>
      <c r="I29" s="24"/>
      <c r="J29" s="26"/>
    </row>
    <row r="30" spans="1:10" x14ac:dyDescent="0.3">
      <c r="A30" s="6">
        <f t="shared" si="1"/>
        <v>42089</v>
      </c>
      <c r="B30" s="6"/>
      <c r="C30" s="31" t="str">
        <f t="shared" si="0"/>
        <v>2015-03-26</v>
      </c>
      <c r="D30" s="31"/>
      <c r="E30" s="15">
        <f>SUMIFS(Info!C:C,Info!B:B,Informe!C30)</f>
        <v>0</v>
      </c>
      <c r="F30" s="20"/>
      <c r="G30" s="25"/>
      <c r="H30" s="22"/>
      <c r="I30" s="24"/>
      <c r="J30" s="24"/>
    </row>
    <row r="31" spans="1:10" x14ac:dyDescent="0.3">
      <c r="A31" s="6">
        <f t="shared" si="1"/>
        <v>42090</v>
      </c>
      <c r="B31" s="6"/>
      <c r="C31" s="31" t="str">
        <f t="shared" si="0"/>
        <v>2015-03-27</v>
      </c>
      <c r="D31" s="31"/>
      <c r="E31" s="15">
        <f>SUMIFS(Info!C:C,Info!B:B,Informe!C31)</f>
        <v>0</v>
      </c>
      <c r="F31" s="20"/>
      <c r="G31" s="25"/>
      <c r="H31" s="22"/>
      <c r="I31" s="24"/>
      <c r="J31" s="26"/>
    </row>
    <row r="32" spans="1:10" x14ac:dyDescent="0.3">
      <c r="A32" s="6">
        <f t="shared" si="1"/>
        <v>42091</v>
      </c>
      <c r="B32" s="6"/>
      <c r="C32" s="31" t="str">
        <f t="shared" si="0"/>
        <v>2015-03-28</v>
      </c>
      <c r="D32" s="31"/>
      <c r="E32" s="15">
        <f>SUMIFS(Info!C:C,Info!B:B,Informe!C32)</f>
        <v>0</v>
      </c>
      <c r="F32" s="20"/>
      <c r="G32" s="25"/>
      <c r="H32" s="22"/>
      <c r="I32" s="24"/>
      <c r="J32" s="24"/>
    </row>
    <row r="33" spans="1:10" x14ac:dyDescent="0.3">
      <c r="A33" s="6">
        <f>A32+1</f>
        <v>42092</v>
      </c>
      <c r="B33" s="6"/>
      <c r="C33" s="31" t="str">
        <f t="shared" si="0"/>
        <v>2015-03-29</v>
      </c>
      <c r="D33" s="31"/>
      <c r="E33" s="15">
        <f>SUMIFS(Info!C:C,Info!B:B,Informe!C33)</f>
        <v>0</v>
      </c>
      <c r="F33" s="20"/>
      <c r="G33" s="25"/>
      <c r="H33" s="22"/>
      <c r="I33" s="24"/>
      <c r="J33" s="26"/>
    </row>
    <row r="34" spans="1:10" x14ac:dyDescent="0.3">
      <c r="A34" s="6">
        <f t="shared" si="1"/>
        <v>42093</v>
      </c>
      <c r="B34" s="6"/>
      <c r="C34" s="31" t="str">
        <f t="shared" si="0"/>
        <v>2015-03-30</v>
      </c>
      <c r="D34" s="31"/>
      <c r="E34" s="15">
        <f>SUMIFS(Info!C:C,Info!B:B,Informe!C34)</f>
        <v>0</v>
      </c>
      <c r="F34" s="20"/>
      <c r="G34" s="25"/>
      <c r="H34" s="22"/>
      <c r="I34" s="24"/>
      <c r="J34" s="24"/>
    </row>
    <row r="35" spans="1:10" x14ac:dyDescent="0.3">
      <c r="A35" s="6">
        <f t="shared" si="1"/>
        <v>42094</v>
      </c>
      <c r="B35" s="6"/>
      <c r="C35" s="31" t="str">
        <f>IFERROR(TEXT(A35,"yyyy-mm-dd"),"")</f>
        <v>2015-03-31</v>
      </c>
      <c r="D35" s="31"/>
      <c r="E35" s="15">
        <f>SUMIFS(Info!C:C,Info!B:B,Informe!C35)</f>
        <v>2</v>
      </c>
      <c r="F35" s="20"/>
      <c r="G35" s="25"/>
      <c r="H35" s="22"/>
      <c r="I35" s="24"/>
      <c r="J35" s="26"/>
    </row>
    <row r="36" spans="1:10" x14ac:dyDescent="0.3">
      <c r="C36" s="32" t="s">
        <v>9</v>
      </c>
      <c r="D36" s="32"/>
      <c r="E36" s="27">
        <f>SUM(E5:E35)</f>
        <v>2</v>
      </c>
      <c r="F36" s="20"/>
      <c r="G36" s="25"/>
      <c r="H36" s="22"/>
      <c r="I36" s="24"/>
      <c r="J36" s="24"/>
    </row>
    <row r="37" spans="1:10" x14ac:dyDescent="0.3">
      <c r="C37" s="28"/>
      <c r="D37" s="28"/>
      <c r="E37" s="29"/>
      <c r="F37" s="25"/>
      <c r="G37" s="25"/>
      <c r="H37" s="22"/>
      <c r="I37" s="24"/>
      <c r="J37" s="26"/>
    </row>
    <row r="38" spans="1:10" x14ac:dyDescent="0.3">
      <c r="C38" s="26"/>
      <c r="D38" s="26"/>
      <c r="E38" s="30"/>
      <c r="F38" s="25"/>
      <c r="G38" s="25"/>
      <c r="H38" s="22"/>
      <c r="I38" s="24"/>
      <c r="J38" s="24"/>
    </row>
    <row r="39" spans="1:10" x14ac:dyDescent="0.3">
      <c r="C39" s="26"/>
      <c r="D39" s="26"/>
      <c r="E39" s="30"/>
      <c r="F39" s="25"/>
      <c r="G39" s="25"/>
      <c r="H39" s="22"/>
      <c r="I39" s="24"/>
      <c r="J39" s="26"/>
    </row>
    <row r="40" spans="1:10" x14ac:dyDescent="0.3">
      <c r="C40" s="26"/>
      <c r="D40" s="26"/>
      <c r="E40" s="30"/>
      <c r="F40" s="25"/>
      <c r="G40" s="25"/>
      <c r="H40" s="22"/>
      <c r="I40" s="24"/>
      <c r="J40" s="24"/>
    </row>
    <row r="41" spans="1:10" x14ac:dyDescent="0.3">
      <c r="C41" s="26"/>
      <c r="D41" s="26"/>
      <c r="E41" s="30"/>
      <c r="F41" s="25"/>
      <c r="G41" s="25"/>
      <c r="H41" s="22"/>
      <c r="I41" s="24"/>
      <c r="J41" s="26"/>
    </row>
    <row r="42" spans="1:10" x14ac:dyDescent="0.3">
      <c r="C42" s="26"/>
      <c r="D42" s="26"/>
      <c r="E42" s="30"/>
      <c r="F42" s="25"/>
      <c r="G42" s="25"/>
      <c r="H42" s="22"/>
      <c r="I42" s="24"/>
      <c r="J42" s="24"/>
    </row>
    <row r="43" spans="1:10" x14ac:dyDescent="0.3">
      <c r="C43" s="26"/>
      <c r="D43" s="26"/>
      <c r="E43" s="30"/>
      <c r="F43" s="25"/>
      <c r="G43" s="25"/>
      <c r="H43" s="22"/>
      <c r="I43" s="24"/>
      <c r="J43" s="26"/>
    </row>
    <row r="44" spans="1:10" x14ac:dyDescent="0.3">
      <c r="C44" s="26"/>
      <c r="D44" s="26"/>
      <c r="E44" s="30"/>
      <c r="F44" s="25"/>
      <c r="G44" s="25"/>
      <c r="H44" s="22"/>
      <c r="I44" s="24"/>
      <c r="J44" s="24"/>
    </row>
    <row r="45" spans="1:10" x14ac:dyDescent="0.3">
      <c r="C45" s="26"/>
      <c r="D45" s="26"/>
      <c r="E45" s="30"/>
      <c r="F45" s="25"/>
      <c r="G45" s="25"/>
      <c r="H45" s="22"/>
      <c r="I45" s="24"/>
      <c r="J45" s="26"/>
    </row>
    <row r="46" spans="1:10" x14ac:dyDescent="0.3">
      <c r="C46" s="26"/>
      <c r="D46" s="26"/>
      <c r="E46" s="30"/>
      <c r="F46" s="25"/>
      <c r="G46" s="25"/>
      <c r="H46" s="22"/>
      <c r="I46" s="24"/>
      <c r="J46" s="24"/>
    </row>
    <row r="47" spans="1:10" x14ac:dyDescent="0.3">
      <c r="C47" s="26"/>
      <c r="D47" s="26"/>
      <c r="E47" s="30"/>
      <c r="F47" s="25"/>
      <c r="G47" s="25"/>
      <c r="H47" s="22"/>
      <c r="I47" s="24"/>
      <c r="J47" s="26"/>
    </row>
    <row r="48" spans="1:10" x14ac:dyDescent="0.3">
      <c r="C48" s="26"/>
      <c r="D48" s="26"/>
      <c r="E48" s="30"/>
      <c r="F48" s="25"/>
      <c r="G48" s="25"/>
      <c r="H48" s="22"/>
      <c r="I48" s="24"/>
      <c r="J48" s="24"/>
    </row>
    <row r="49" spans="3:10" x14ac:dyDescent="0.3">
      <c r="C49" s="26"/>
      <c r="D49" s="26"/>
      <c r="E49" s="30"/>
      <c r="F49" s="25"/>
      <c r="G49" s="25"/>
      <c r="H49" s="22"/>
      <c r="I49" s="24"/>
      <c r="J49" s="26"/>
    </row>
    <row r="50" spans="3:10" x14ac:dyDescent="0.3">
      <c r="C50" s="26"/>
      <c r="D50" s="26"/>
      <c r="E50" s="30"/>
      <c r="F50" s="25"/>
      <c r="G50" s="25"/>
      <c r="H50" s="22"/>
      <c r="I50" s="24"/>
      <c r="J50" s="24"/>
    </row>
    <row r="51" spans="3:10" x14ac:dyDescent="0.3">
      <c r="C51" s="26"/>
      <c r="D51" s="26"/>
      <c r="E51" s="30"/>
      <c r="F51" s="25"/>
      <c r="G51" s="25"/>
      <c r="H51" s="22"/>
      <c r="I51" s="24"/>
      <c r="J51" s="26"/>
    </row>
    <row r="52" spans="3:10" x14ac:dyDescent="0.3">
      <c r="C52" s="26"/>
      <c r="D52" s="26"/>
      <c r="E52" s="30"/>
      <c r="F52" s="25"/>
      <c r="G52" s="25"/>
      <c r="H52" s="22"/>
      <c r="I52" s="24"/>
      <c r="J52" s="24"/>
    </row>
    <row r="53" spans="3:10" x14ac:dyDescent="0.3">
      <c r="C53" s="26"/>
      <c r="D53" s="26"/>
      <c r="E53" s="30"/>
      <c r="F53" s="25"/>
      <c r="G53" s="25"/>
      <c r="H53" s="22"/>
      <c r="I53" s="24"/>
      <c r="J53" s="26"/>
    </row>
    <row r="54" spans="3:10" x14ac:dyDescent="0.3">
      <c r="C54" s="26"/>
      <c r="D54" s="26"/>
      <c r="E54" s="30"/>
      <c r="F54" s="25"/>
      <c r="G54" s="25"/>
      <c r="H54" s="22"/>
      <c r="I54" s="24"/>
      <c r="J54" s="24"/>
    </row>
    <row r="55" spans="3:10" x14ac:dyDescent="0.3">
      <c r="C55" s="26"/>
      <c r="D55" s="26"/>
      <c r="E55" s="30"/>
      <c r="F55" s="25"/>
      <c r="G55" s="25"/>
      <c r="H55" s="22"/>
      <c r="I55" s="24"/>
      <c r="J55" s="26"/>
    </row>
    <row r="56" spans="3:10" x14ac:dyDescent="0.3">
      <c r="C56" s="26"/>
      <c r="D56" s="26"/>
      <c r="E56" s="30"/>
      <c r="F56" s="25"/>
      <c r="G56" s="25"/>
      <c r="H56" s="22"/>
      <c r="I56" s="24"/>
      <c r="J56" s="24"/>
    </row>
    <row r="57" spans="3:10" x14ac:dyDescent="0.3">
      <c r="C57" s="26"/>
      <c r="D57" s="26"/>
      <c r="E57" s="30"/>
      <c r="F57" s="25"/>
      <c r="G57" s="25"/>
      <c r="H57" s="22"/>
      <c r="I57" s="24"/>
      <c r="J57" s="26"/>
    </row>
    <row r="58" spans="3:10" x14ac:dyDescent="0.3">
      <c r="C58" s="26"/>
      <c r="D58" s="26"/>
      <c r="E58" s="30"/>
      <c r="F58" s="25"/>
      <c r="G58" s="25"/>
      <c r="H58" s="22"/>
      <c r="I58" s="24"/>
      <c r="J58" s="24"/>
    </row>
    <row r="59" spans="3:10" x14ac:dyDescent="0.3">
      <c r="C59" s="26"/>
      <c r="D59" s="26"/>
      <c r="E59" s="30"/>
      <c r="F59" s="25"/>
      <c r="G59" s="25"/>
      <c r="H59" s="22"/>
      <c r="I59" s="24"/>
      <c r="J59" s="26"/>
    </row>
    <row r="60" spans="3:10" x14ac:dyDescent="0.3">
      <c r="C60" s="26"/>
      <c r="D60" s="26"/>
      <c r="E60" s="30"/>
      <c r="F60" s="25"/>
      <c r="G60" s="25"/>
      <c r="H60" s="22"/>
      <c r="I60" s="24"/>
      <c r="J60" s="24"/>
    </row>
    <row r="61" spans="3:10" x14ac:dyDescent="0.3">
      <c r="C61" s="26"/>
      <c r="D61" s="26"/>
      <c r="E61" s="30"/>
      <c r="F61" s="25"/>
      <c r="G61" s="25"/>
      <c r="H61" s="22"/>
      <c r="I61" s="24"/>
      <c r="J61" s="26"/>
    </row>
    <row r="62" spans="3:10" x14ac:dyDescent="0.3">
      <c r="C62" s="26"/>
      <c r="D62" s="26"/>
      <c r="E62" s="30"/>
      <c r="F62" s="25"/>
      <c r="G62" s="25"/>
      <c r="H62" s="22"/>
      <c r="I62" s="24"/>
      <c r="J62" s="24"/>
    </row>
    <row r="63" spans="3:10" x14ac:dyDescent="0.3">
      <c r="C63" s="26"/>
      <c r="D63" s="26"/>
      <c r="E63" s="30"/>
      <c r="F63" s="25"/>
      <c r="G63" s="25"/>
      <c r="H63" s="22"/>
      <c r="I63" s="24"/>
      <c r="J63" s="26"/>
    </row>
    <row r="64" spans="3:10" x14ac:dyDescent="0.3">
      <c r="C64" s="26"/>
      <c r="D64" s="26"/>
      <c r="E64" s="30"/>
      <c r="F64" s="25"/>
      <c r="G64" s="25"/>
      <c r="H64" s="22"/>
      <c r="I64" s="24"/>
      <c r="J64" s="24"/>
    </row>
    <row r="65" spans="3:10" x14ac:dyDescent="0.3">
      <c r="C65" s="26"/>
      <c r="D65" s="26"/>
      <c r="E65" s="30"/>
      <c r="F65" s="25"/>
      <c r="G65" s="25"/>
      <c r="H65" s="22"/>
      <c r="I65" s="24"/>
      <c r="J65" s="26"/>
    </row>
    <row r="66" spans="3:10" x14ac:dyDescent="0.3">
      <c r="C66" s="26"/>
      <c r="D66" s="26"/>
      <c r="E66" s="30"/>
      <c r="F66" s="25"/>
      <c r="G66" s="25"/>
      <c r="H66" s="22"/>
      <c r="I66" s="24"/>
      <c r="J66" s="24"/>
    </row>
    <row r="67" spans="3:10" x14ac:dyDescent="0.3">
      <c r="C67" s="26"/>
      <c r="D67" s="26"/>
      <c r="E67" s="30"/>
      <c r="F67" s="25"/>
      <c r="G67" s="25"/>
      <c r="H67" s="22"/>
      <c r="I67" s="24"/>
      <c r="J67" s="26"/>
    </row>
    <row r="68" spans="3:10" x14ac:dyDescent="0.3">
      <c r="C68" s="26"/>
      <c r="D68" s="26"/>
      <c r="E68" s="30"/>
      <c r="F68" s="25"/>
      <c r="G68" s="25"/>
      <c r="H68" s="22"/>
      <c r="I68" s="24"/>
      <c r="J68" s="24"/>
    </row>
    <row r="69" spans="3:10" x14ac:dyDescent="0.3">
      <c r="C69" s="26"/>
      <c r="D69" s="26"/>
      <c r="E69" s="30"/>
      <c r="F69" s="25"/>
      <c r="G69" s="25"/>
      <c r="H69" s="22"/>
      <c r="I69" s="24"/>
      <c r="J69" s="26"/>
    </row>
    <row r="70" spans="3:10" x14ac:dyDescent="0.3">
      <c r="C70" s="26"/>
      <c r="D70" s="26"/>
      <c r="E70" s="30"/>
      <c r="F70" s="25"/>
      <c r="G70" s="25"/>
      <c r="H70" s="22"/>
      <c r="I70" s="24"/>
      <c r="J70" s="24"/>
    </row>
    <row r="71" spans="3:10" x14ac:dyDescent="0.3">
      <c r="C71" s="26"/>
      <c r="D71" s="26"/>
      <c r="E71" s="30"/>
      <c r="F71" s="25"/>
      <c r="G71" s="25"/>
      <c r="H71" s="22"/>
      <c r="I71" s="24"/>
      <c r="J71" s="26"/>
    </row>
    <row r="72" spans="3:10" x14ac:dyDescent="0.3">
      <c r="C72" s="26"/>
      <c r="D72" s="26"/>
      <c r="E72" s="30"/>
      <c r="F72" s="25"/>
      <c r="G72" s="25"/>
      <c r="H72" s="22"/>
      <c r="I72" s="24"/>
      <c r="J72" s="24"/>
    </row>
    <row r="73" spans="3:10" x14ac:dyDescent="0.3">
      <c r="C73" s="26"/>
      <c r="D73" s="26"/>
      <c r="E73" s="30"/>
      <c r="F73" s="25"/>
      <c r="G73" s="25"/>
      <c r="H73" s="22"/>
      <c r="I73" s="24"/>
      <c r="J73" s="26"/>
    </row>
    <row r="74" spans="3:10" x14ac:dyDescent="0.3">
      <c r="C74" s="26"/>
      <c r="D74" s="26"/>
      <c r="E74" s="30"/>
      <c r="F74" s="25"/>
      <c r="G74" s="25"/>
      <c r="H74" s="22"/>
      <c r="I74" s="24"/>
      <c r="J74" s="24"/>
    </row>
    <row r="75" spans="3:10" x14ac:dyDescent="0.3">
      <c r="C75" s="26"/>
      <c r="D75" s="26"/>
      <c r="E75" s="30"/>
      <c r="F75" s="25"/>
      <c r="G75" s="25"/>
      <c r="H75" s="22"/>
      <c r="I75" s="24"/>
      <c r="J75" s="26"/>
    </row>
    <row r="76" spans="3:10" x14ac:dyDescent="0.3">
      <c r="C76" s="26"/>
      <c r="D76" s="26"/>
      <c r="E76" s="30"/>
      <c r="F76" s="25"/>
      <c r="G76" s="25"/>
      <c r="H76" s="22"/>
      <c r="I76" s="24"/>
      <c r="J76" s="24"/>
    </row>
    <row r="77" spans="3:10" x14ac:dyDescent="0.3">
      <c r="C77" s="26"/>
      <c r="D77" s="26"/>
      <c r="E77" s="30"/>
      <c r="F77" s="25"/>
      <c r="G77" s="25"/>
      <c r="H77" s="22"/>
      <c r="I77" s="24"/>
      <c r="J77" s="26"/>
    </row>
    <row r="78" spans="3:10" x14ac:dyDescent="0.3">
      <c r="C78" s="26"/>
      <c r="D78" s="26"/>
      <c r="E78" s="30"/>
      <c r="F78" s="25"/>
      <c r="G78" s="25"/>
      <c r="H78" s="22"/>
      <c r="I78" s="24"/>
      <c r="J78" s="24"/>
    </row>
    <row r="79" spans="3:10" x14ac:dyDescent="0.3">
      <c r="C79" s="26"/>
      <c r="D79" s="26"/>
      <c r="E79" s="30"/>
      <c r="F79" s="25"/>
      <c r="G79" s="25"/>
      <c r="H79" s="22"/>
      <c r="I79" s="24"/>
      <c r="J79" s="26"/>
    </row>
    <row r="80" spans="3:10" x14ac:dyDescent="0.3">
      <c r="C80" s="26"/>
      <c r="D80" s="26"/>
      <c r="E80" s="30"/>
      <c r="F80" s="25"/>
      <c r="G80" s="25"/>
      <c r="H80" s="22"/>
      <c r="I80" s="24"/>
      <c r="J80" s="24"/>
    </row>
    <row r="81" spans="3:10" x14ac:dyDescent="0.3">
      <c r="C81" s="26"/>
      <c r="D81" s="26"/>
      <c r="E81" s="30"/>
      <c r="F81" s="25"/>
      <c r="G81" s="25"/>
      <c r="H81" s="22"/>
      <c r="I81" s="24"/>
      <c r="J81" s="26"/>
    </row>
    <row r="82" spans="3:10" x14ac:dyDescent="0.3">
      <c r="C82" s="26"/>
      <c r="D82" s="26"/>
      <c r="E82" s="30"/>
      <c r="F82" s="25"/>
      <c r="G82" s="25"/>
      <c r="H82" s="22"/>
      <c r="I82" s="24"/>
      <c r="J82" s="24"/>
    </row>
    <row r="83" spans="3:10" x14ac:dyDescent="0.3">
      <c r="C83" s="26"/>
      <c r="D83" s="26"/>
      <c r="E83" s="30"/>
      <c r="F83" s="25"/>
      <c r="G83" s="25"/>
      <c r="H83" s="22"/>
      <c r="I83" s="24"/>
      <c r="J83" s="26"/>
    </row>
    <row r="84" spans="3:10" x14ac:dyDescent="0.3">
      <c r="C84" s="26"/>
      <c r="D84" s="26"/>
      <c r="E84" s="30"/>
      <c r="F84" s="25"/>
      <c r="G84" s="25"/>
      <c r="H84" s="22"/>
      <c r="I84" s="24"/>
      <c r="J84" s="24"/>
    </row>
    <row r="85" spans="3:10" x14ac:dyDescent="0.3">
      <c r="C85" s="26"/>
      <c r="D85" s="26"/>
      <c r="E85" s="30"/>
      <c r="F85" s="25"/>
      <c r="G85" s="25"/>
      <c r="H85" s="22"/>
      <c r="I85" s="24"/>
      <c r="J85" s="26"/>
    </row>
    <row r="86" spans="3:10" x14ac:dyDescent="0.3">
      <c r="C86" s="26"/>
      <c r="D86" s="26"/>
      <c r="E86" s="30"/>
      <c r="F86" s="25"/>
      <c r="G86" s="25"/>
      <c r="H86" s="22"/>
      <c r="I86" s="24"/>
      <c r="J86" s="24"/>
    </row>
    <row r="87" spans="3:10" x14ac:dyDescent="0.3">
      <c r="C87" s="26"/>
      <c r="D87" s="26"/>
      <c r="E87" s="30"/>
      <c r="F87" s="25"/>
      <c r="G87" s="25"/>
      <c r="H87" s="22"/>
      <c r="I87" s="24"/>
      <c r="J87" s="26"/>
    </row>
    <row r="88" spans="3:10" x14ac:dyDescent="0.3">
      <c r="C88" s="26"/>
      <c r="D88" s="26"/>
      <c r="E88" s="30"/>
      <c r="F88" s="25"/>
      <c r="G88" s="25"/>
      <c r="H88" s="22"/>
      <c r="I88" s="24"/>
      <c r="J88" s="24"/>
    </row>
    <row r="89" spans="3:10" x14ac:dyDescent="0.3">
      <c r="C89" s="26"/>
      <c r="D89" s="26"/>
      <c r="E89" s="30"/>
      <c r="F89" s="25"/>
      <c r="G89" s="25"/>
      <c r="H89" s="22"/>
      <c r="I89" s="24"/>
      <c r="J89" s="26"/>
    </row>
    <row r="90" spans="3:10" x14ac:dyDescent="0.3">
      <c r="C90" s="26"/>
      <c r="D90" s="26"/>
      <c r="E90" s="30"/>
      <c r="F90" s="25"/>
      <c r="G90" s="25"/>
      <c r="H90" s="22"/>
      <c r="I90" s="24"/>
      <c r="J90" s="24"/>
    </row>
    <row r="91" spans="3:10" x14ac:dyDescent="0.3">
      <c r="C91" s="26"/>
      <c r="D91" s="26"/>
      <c r="E91" s="30"/>
      <c r="F91" s="25"/>
      <c r="G91" s="25"/>
      <c r="H91" s="22"/>
      <c r="I91" s="24"/>
      <c r="J91" s="26"/>
    </row>
    <row r="92" spans="3:10" x14ac:dyDescent="0.3">
      <c r="C92" s="26"/>
      <c r="D92" s="26"/>
      <c r="E92" s="30"/>
      <c r="F92" s="25"/>
      <c r="G92" s="25"/>
      <c r="H92" s="22"/>
      <c r="I92" s="24"/>
      <c r="J92" s="24"/>
    </row>
    <row r="93" spans="3:10" x14ac:dyDescent="0.3">
      <c r="C93" s="26"/>
      <c r="D93" s="26"/>
      <c r="E93" s="30"/>
      <c r="F93" s="25"/>
      <c r="G93" s="25"/>
      <c r="H93" s="22"/>
      <c r="I93" s="24"/>
      <c r="J93" s="26"/>
    </row>
    <row r="94" spans="3:10" x14ac:dyDescent="0.3">
      <c r="C94" s="26"/>
      <c r="D94" s="26"/>
      <c r="E94" s="30"/>
      <c r="F94" s="25"/>
      <c r="G94" s="25"/>
      <c r="H94" s="22"/>
      <c r="I94" s="24"/>
      <c r="J94" s="24"/>
    </row>
    <row r="95" spans="3:10" x14ac:dyDescent="0.3">
      <c r="C95" s="26"/>
      <c r="D95" s="26"/>
      <c r="E95" s="30"/>
      <c r="F95" s="25"/>
      <c r="G95" s="25"/>
      <c r="H95" s="22"/>
      <c r="I95" s="24"/>
      <c r="J95" s="26"/>
    </row>
    <row r="96" spans="3:10" x14ac:dyDescent="0.3">
      <c r="C96" s="26"/>
      <c r="D96" s="26"/>
      <c r="E96" s="30"/>
      <c r="F96" s="25"/>
      <c r="G96" s="25"/>
      <c r="H96" s="22"/>
      <c r="I96" s="24"/>
      <c r="J96" s="24"/>
    </row>
    <row r="97" spans="3:10" x14ac:dyDescent="0.3">
      <c r="C97" s="26"/>
      <c r="D97" s="26"/>
      <c r="E97" s="30"/>
      <c r="F97" s="25"/>
      <c r="G97" s="25"/>
      <c r="H97" s="22"/>
      <c r="I97" s="24"/>
      <c r="J97" s="26"/>
    </row>
    <row r="98" spans="3:10" x14ac:dyDescent="0.3">
      <c r="C98" s="26"/>
      <c r="D98" s="26"/>
      <c r="E98" s="30"/>
      <c r="F98" s="25"/>
      <c r="G98" s="25"/>
      <c r="H98" s="22"/>
      <c r="I98" s="24"/>
      <c r="J98" s="24"/>
    </row>
    <row r="99" spans="3:10" x14ac:dyDescent="0.3">
      <c r="C99" s="26"/>
      <c r="D99" s="26"/>
      <c r="E99" s="30"/>
      <c r="F99" s="25"/>
      <c r="G99" s="25"/>
      <c r="H99" s="22"/>
      <c r="I99" s="24"/>
      <c r="J99" s="26"/>
    </row>
    <row r="100" spans="3:10" x14ac:dyDescent="0.3">
      <c r="C100" s="26"/>
      <c r="D100" s="26"/>
      <c r="E100" s="30"/>
      <c r="F100" s="25"/>
      <c r="G100" s="25"/>
      <c r="H100" s="22"/>
      <c r="I100" s="24"/>
      <c r="J100" s="24"/>
    </row>
    <row r="101" spans="3:10" x14ac:dyDescent="0.3">
      <c r="C101" s="26"/>
      <c r="D101" s="26"/>
      <c r="E101" s="30"/>
      <c r="F101" s="25"/>
      <c r="G101" s="25"/>
      <c r="H101" s="22"/>
      <c r="I101" s="24"/>
      <c r="J101" s="26"/>
    </row>
  </sheetData>
  <mergeCells count="34">
    <mergeCell ref="C14:D14"/>
    <mergeCell ref="C2:I2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26:D26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33:D33"/>
    <mergeCell ref="C34:D34"/>
    <mergeCell ref="C35:D35"/>
    <mergeCell ref="C36:D36"/>
    <mergeCell ref="C27:D27"/>
    <mergeCell ref="C28:D28"/>
    <mergeCell ref="C29:D29"/>
    <mergeCell ref="C30:D30"/>
    <mergeCell ref="C31:D31"/>
    <mergeCell ref="C32:D32"/>
  </mergeCells>
  <pageMargins left="0.25" right="0.25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Info</vt:lpstr>
      <vt:lpstr>query</vt:lpstr>
      <vt:lpstr>Informe</vt:lpstr>
      <vt:lpstr>DIVISIONES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2015-04-01T01:56:43Z</dcterms:modified>
</cp:coreProperties>
</file>